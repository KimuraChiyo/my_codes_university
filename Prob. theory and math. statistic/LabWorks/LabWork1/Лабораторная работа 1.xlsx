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.1 Нормальное распределение" sheetId="1" state="visible" r:id="rId2"/>
    <sheet name="1.2 Распределение хи-квадрат" sheetId="2" state="visible" r:id="rId3"/>
    <sheet name="1.3 Распределение Стьюдента" sheetId="3" state="visible" r:id="rId4"/>
    <sheet name="1.4 Распределение Фишера" sheetId="4" state="visible" r:id="rId5"/>
    <sheet name="Часть 2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<sst xmlns="http://schemas.openxmlformats.org/spreadsheetml/2006/main" count="16" uniqueCount="14">
  <si>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m=</t>
  </si>
  <si>
    <t xml:space="preserve">X_NORMAL=</t>
  </si>
  <si>
    <t xml:space="preserve">f_NORMAL</t>
  </si>
  <si>
    <t xml:space="preserve">sig=</t>
  </si>
  <si>
    <t xml:space="preserve">k=</t>
  </si>
  <si>
    <t xml:space="preserve">X_ХИ2РАСП=</t>
  </si>
  <si>
    <t xml:space="preserve">f_ХИ2РАСП=</t>
  </si>
  <si>
    <t xml:space="preserve">X_STUDENT=</t>
  </si>
  <si>
    <t xml:space="preserve">f_STUDENT=</t>
  </si>
  <si>
    <t xml:space="preserve">X_FISHER=</t>
  </si>
  <si>
    <t xml:space="preserve">f_FISHER=</t>
  </si>
  <si>
    <t xml:space="preserve">n=</t>
  </si>
  <si>
    <t xml:space="preserve">Максимум</t>
  </si>
  <si>
    <t xml:space="preserve">Минимум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</si>
</sst>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1"/>
      <color rgb="FFFFFFFF"/>
      <name val="Calibri"/>
      <family val="2"/>
      <charset val="1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Нормальное распределение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"Нормальное распределение"</c:f>
              <c:strCache>
                <c:ptCount val="1"/>
                <c:pt idx="0">
                  <c:v>Нормальное распределение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'1.1 Нормальное распределение'!$C$2:$C$32</c:f>
              <c:strCache>
                <c:ptCount val="31"/>
                <c:pt idx="0">
                  <c:v>0</c:v>
                </c:pt>
                <c:pt idx="1">
                  <c:v>0,2</c:v>
                </c:pt>
                <c:pt idx="2">
                  <c:v>0,4</c:v>
                </c:pt>
                <c:pt idx="3">
                  <c:v>0,6</c:v>
                </c:pt>
                <c:pt idx="4">
                  <c:v>0,8</c:v>
                </c:pt>
                <c:pt idx="5">
                  <c:v>1</c:v>
                </c:pt>
                <c:pt idx="6">
                  <c:v>1,2</c:v>
                </c:pt>
                <c:pt idx="7">
                  <c:v>1,4</c:v>
                </c:pt>
                <c:pt idx="8">
                  <c:v>1,6</c:v>
                </c:pt>
                <c:pt idx="9">
                  <c:v>1,8</c:v>
                </c:pt>
                <c:pt idx="10">
                  <c:v>2</c:v>
                </c:pt>
                <c:pt idx="11">
                  <c:v>2,2</c:v>
                </c:pt>
                <c:pt idx="12">
                  <c:v>2,4</c:v>
                </c:pt>
                <c:pt idx="13">
                  <c:v>2,6</c:v>
                </c:pt>
                <c:pt idx="14">
                  <c:v>2,8</c:v>
                </c:pt>
                <c:pt idx="15">
                  <c:v>3</c:v>
                </c:pt>
                <c:pt idx="16">
                  <c:v>3,2</c:v>
                </c:pt>
                <c:pt idx="17">
                  <c:v>3,4</c:v>
                </c:pt>
                <c:pt idx="18">
                  <c:v>3,6</c:v>
                </c:pt>
                <c:pt idx="19">
                  <c:v>3,8</c:v>
                </c:pt>
                <c:pt idx="20">
                  <c:v>4</c:v>
                </c:pt>
                <c:pt idx="21">
                  <c:v>4,2</c:v>
                </c:pt>
                <c:pt idx="22">
                  <c:v>4,4</c:v>
                </c:pt>
                <c:pt idx="23">
                  <c:v>4,6</c:v>
                </c:pt>
                <c:pt idx="24">
                  <c:v>4,8</c:v>
                </c:pt>
                <c:pt idx="25">
                  <c:v>5</c:v>
                </c:pt>
                <c:pt idx="26">
                  <c:v>5,2</c:v>
                </c:pt>
                <c:pt idx="27">
                  <c:v>5,4</c:v>
                </c:pt>
                <c:pt idx="28">
                  <c:v>5,6</c:v>
                </c:pt>
                <c:pt idx="29">
                  <c:v>5,8</c:v>
                </c:pt>
                <c:pt idx="30">
                  <c:v>6</c:v>
                </c:pt>
              </c:strCache>
            </c:strRef>
          </c:cat>
          <c:val>
            <c:numRef>
              <c:f>'1.1 Нормальное распределение'!$D$2:$D$32</c:f>
              <c:numCache>
                <c:formatCode>General</c:formatCode>
                <c:ptCount val="31"/>
                <c:pt idx="0">
                  <c:v>0.00443184841193801</c:v>
                </c:pt>
                <c:pt idx="1">
                  <c:v>0.00791545158297997</c:v>
                </c:pt>
                <c:pt idx="2">
                  <c:v>0.0135829692336856</c:v>
                </c:pt>
                <c:pt idx="3">
                  <c:v>0.0223945302948429</c:v>
                </c:pt>
                <c:pt idx="4">
                  <c:v>0.0354745928462314</c:v>
                </c:pt>
                <c:pt idx="5">
                  <c:v>0.0539909665131881</c:v>
                </c:pt>
                <c:pt idx="6">
                  <c:v>0.0789501583008942</c:v>
                </c:pt>
                <c:pt idx="7">
                  <c:v>0.110920834679456</c:v>
                </c:pt>
                <c:pt idx="8">
                  <c:v>0.149727465635745</c:v>
                </c:pt>
                <c:pt idx="9">
                  <c:v>0.194186054983213</c:v>
                </c:pt>
                <c:pt idx="10">
                  <c:v>0.241970724519143</c:v>
                </c:pt>
                <c:pt idx="11">
                  <c:v>0.289691552761483</c:v>
                </c:pt>
                <c:pt idx="12">
                  <c:v>0.3332246028918</c:v>
                </c:pt>
                <c:pt idx="13">
                  <c:v>0.368270140303323</c:v>
                </c:pt>
                <c:pt idx="14">
                  <c:v>0.391042693975456</c:v>
                </c:pt>
                <c:pt idx="15">
                  <c:v>0.398942280401433</c:v>
                </c:pt>
                <c:pt idx="16">
                  <c:v>0.391042693975456</c:v>
                </c:pt>
                <c:pt idx="17">
                  <c:v>0.368270140303323</c:v>
                </c:pt>
                <c:pt idx="18">
                  <c:v>0.333224602891799</c:v>
                </c:pt>
                <c:pt idx="19">
                  <c:v>0.289691552761483</c:v>
                </c:pt>
                <c:pt idx="20">
                  <c:v>0.241970724519143</c:v>
                </c:pt>
                <c:pt idx="21">
                  <c:v>0.194186054983213</c:v>
                </c:pt>
                <c:pt idx="22">
                  <c:v>0.149727465635745</c:v>
                </c:pt>
                <c:pt idx="23">
                  <c:v>0.110920834679455</c:v>
                </c:pt>
                <c:pt idx="24">
                  <c:v>0.0789501583008939</c:v>
                </c:pt>
                <c:pt idx="25">
                  <c:v>0.0539909665131879</c:v>
                </c:pt>
                <c:pt idx="26">
                  <c:v>0.0354745928462313</c:v>
                </c:pt>
                <c:pt idx="27">
                  <c:v>0.0223945302948428</c:v>
                </c:pt>
                <c:pt idx="28">
                  <c:v>0.0135829692336855</c:v>
                </c:pt>
                <c:pt idx="29">
                  <c:v>0.00791545158297991</c:v>
                </c:pt>
                <c:pt idx="30">
                  <c:v>0.00443184841193797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355664"/>
        <c:axId val="40975905"/>
      </c:lineChart>
      <c:catAx>
        <c:axId val="8135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975905"/>
        <c:crosses val="autoZero"/>
        <c:auto val="1"/>
        <c:lblAlgn val="ctr"/>
        <c:lblOffset val="100"/>
        <c:noMultiLvlLbl val="0"/>
      </c:catAx>
      <c:valAx>
        <c:axId val="409759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3556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Распределение хи-квадрат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"Распределение хи-квадрат"</c:f>
              <c:strCache>
                <c:ptCount val="1"/>
                <c:pt idx="0">
                  <c:v>Распределение хи-квадрат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 Распределение хи-квадрат'!$C$2:$C$52</c:f>
              <c:strCache>
                <c:ptCount val="51"/>
                <c:pt idx="0">
                  <c:v>0</c:v>
                </c:pt>
                <c:pt idx="1">
                  <c:v>0,2</c:v>
                </c:pt>
                <c:pt idx="2">
                  <c:v>0,4</c:v>
                </c:pt>
                <c:pt idx="3">
                  <c:v>0,6</c:v>
                </c:pt>
                <c:pt idx="4">
                  <c:v>0,8</c:v>
                </c:pt>
                <c:pt idx="5">
                  <c:v>1</c:v>
                </c:pt>
                <c:pt idx="6">
                  <c:v>1,2</c:v>
                </c:pt>
                <c:pt idx="7">
                  <c:v>1,4</c:v>
                </c:pt>
                <c:pt idx="8">
                  <c:v>1,6</c:v>
                </c:pt>
                <c:pt idx="9">
                  <c:v>1,8</c:v>
                </c:pt>
                <c:pt idx="10">
                  <c:v>2</c:v>
                </c:pt>
                <c:pt idx="11">
                  <c:v>2,2</c:v>
                </c:pt>
                <c:pt idx="12">
                  <c:v>2,4</c:v>
                </c:pt>
                <c:pt idx="13">
                  <c:v>2,6</c:v>
                </c:pt>
                <c:pt idx="14">
                  <c:v>2,8</c:v>
                </c:pt>
                <c:pt idx="15">
                  <c:v>3</c:v>
                </c:pt>
                <c:pt idx="16">
                  <c:v>3,2</c:v>
                </c:pt>
                <c:pt idx="17">
                  <c:v>3,4</c:v>
                </c:pt>
                <c:pt idx="18">
                  <c:v>3,6</c:v>
                </c:pt>
                <c:pt idx="19">
                  <c:v>3,8</c:v>
                </c:pt>
                <c:pt idx="20">
                  <c:v>4</c:v>
                </c:pt>
                <c:pt idx="21">
                  <c:v>4,2</c:v>
                </c:pt>
                <c:pt idx="22">
                  <c:v>4,4</c:v>
                </c:pt>
                <c:pt idx="23">
                  <c:v>4,6</c:v>
                </c:pt>
                <c:pt idx="24">
                  <c:v>4,8</c:v>
                </c:pt>
                <c:pt idx="25">
                  <c:v>5</c:v>
                </c:pt>
                <c:pt idx="26">
                  <c:v>5,2</c:v>
                </c:pt>
                <c:pt idx="27">
                  <c:v>5,4</c:v>
                </c:pt>
                <c:pt idx="28">
                  <c:v>5,6</c:v>
                </c:pt>
                <c:pt idx="29">
                  <c:v>5,8</c:v>
                </c:pt>
                <c:pt idx="30">
                  <c:v>6</c:v>
                </c:pt>
                <c:pt idx="31">
                  <c:v>6,2</c:v>
                </c:pt>
                <c:pt idx="32">
                  <c:v>6,4</c:v>
                </c:pt>
                <c:pt idx="33">
                  <c:v>6,6</c:v>
                </c:pt>
                <c:pt idx="34">
                  <c:v>6,8</c:v>
                </c:pt>
                <c:pt idx="35">
                  <c:v>7</c:v>
                </c:pt>
                <c:pt idx="36">
                  <c:v>7,2</c:v>
                </c:pt>
                <c:pt idx="37">
                  <c:v>7,4</c:v>
                </c:pt>
                <c:pt idx="38">
                  <c:v>7,6</c:v>
                </c:pt>
                <c:pt idx="39">
                  <c:v>7,8</c:v>
                </c:pt>
                <c:pt idx="40">
                  <c:v>8</c:v>
                </c:pt>
                <c:pt idx="41">
                  <c:v>8,2</c:v>
                </c:pt>
                <c:pt idx="42">
                  <c:v>8,4</c:v>
                </c:pt>
                <c:pt idx="43">
                  <c:v>8,6</c:v>
                </c:pt>
                <c:pt idx="44">
                  <c:v>8,8</c:v>
                </c:pt>
                <c:pt idx="45">
                  <c:v>9</c:v>
                </c:pt>
                <c:pt idx="46">
                  <c:v>9,2</c:v>
                </c:pt>
                <c:pt idx="47">
                  <c:v>9,4</c:v>
                </c:pt>
                <c:pt idx="48">
                  <c:v>9,6</c:v>
                </c:pt>
                <c:pt idx="49">
                  <c:v>9,8</c:v>
                </c:pt>
                <c:pt idx="50">
                  <c:v>10</c:v>
                </c:pt>
              </c:strCache>
            </c:strRef>
          </c:cat>
          <c:val>
            <c:numRef>
              <c:f>'1.2 Распределение хи-квадрат'!$D$2:$D$52</c:f>
              <c:numCache>
                <c:formatCode>General</c:formatCode>
                <c:ptCount val="51"/>
                <c:pt idx="0">
                  <c:v>0</c:v>
                </c:pt>
                <c:pt idx="1">
                  <c:v>0.161434225871536</c:v>
                </c:pt>
                <c:pt idx="2">
                  <c:v>0.206576618986911</c:v>
                </c:pt>
                <c:pt idx="3">
                  <c:v>0.228927173630456</c:v>
                </c:pt>
                <c:pt idx="4">
                  <c:v>0.239186831934564</c:v>
                </c:pt>
                <c:pt idx="5">
                  <c:v>0.241970724519143</c:v>
                </c:pt>
                <c:pt idx="6">
                  <c:v>0.23984131668208</c:v>
                </c:pt>
                <c:pt idx="7">
                  <c:v>0.234405580283117</c:v>
                </c:pt>
                <c:pt idx="8">
                  <c:v>0.226743304489958</c:v>
                </c:pt>
                <c:pt idx="9">
                  <c:v>0.217611220451769</c:v>
                </c:pt>
                <c:pt idx="10">
                  <c:v>0.207553748710297</c:v>
                </c:pt>
                <c:pt idx="11">
                  <c:v>0.196968816820914</c:v>
                </c:pt>
                <c:pt idx="12">
                  <c:v>0.186149686176623</c:v>
                </c:pt>
                <c:pt idx="13">
                  <c:v>0.175312915942402</c:v>
                </c:pt>
                <c:pt idx="14">
                  <c:v>0.164617805107125</c:v>
                </c:pt>
                <c:pt idx="15">
                  <c:v>0.154180329803769</c:v>
                </c:pt>
                <c:pt idx="16">
                  <c:v>0.144083378688615</c:v>
                </c:pt>
                <c:pt idx="17">
                  <c:v>0.134384415006015</c:v>
                </c:pt>
                <c:pt idx="18">
                  <c:v>0.125121300217698</c:v>
                </c:pt>
                <c:pt idx="19">
                  <c:v>0.116316773951229</c:v>
                </c:pt>
                <c:pt idx="20">
                  <c:v>0.107981933026376</c:v>
                </c:pt>
                <c:pt idx="21">
                  <c:v>0.100118952936353</c:v>
                </c:pt>
                <c:pt idx="22">
                  <c:v>0.0927232283077328</c:v>
                </c:pt>
                <c:pt idx="23">
                  <c:v>0.0857850627508582</c:v>
                </c:pt>
                <c:pt idx="24">
                  <c:v>0.0792910059942985</c:v>
                </c:pt>
                <c:pt idx="25">
                  <c:v>0.0732249128096324</c:v>
                </c:pt>
                <c:pt idx="26">
                  <c:v>0.0675687811162416</c:v>
                </c:pt>
                <c:pt idx="27">
                  <c:v>0.0623034139322547</c:v>
                </c:pt>
                <c:pt idx="28">
                  <c:v>0.0574089402480761</c:v>
                </c:pt>
                <c:pt idx="29">
                  <c:v>0.0528652225816342</c:v>
                </c:pt>
                <c:pt idx="30">
                  <c:v>0.0486521733296414</c:v>
                </c:pt>
                <c:pt idx="31">
                  <c:v>0.044749997631925</c:v>
                </c:pt>
                <c:pt idx="32">
                  <c:v>0.0411393770108141</c:v>
                </c:pt>
                <c:pt idx="33">
                  <c:v>0.0378016053119413</c:v>
                </c:pt>
                <c:pt idx="34">
                  <c:v>0.0347186862921448</c:v>
                </c:pt>
                <c:pt idx="35">
                  <c:v>0.0318734004514812</c:v>
                </c:pt>
                <c:pt idx="36">
                  <c:v>0.0292493472967676</c:v>
                </c:pt>
                <c:pt idx="37">
                  <c:v>0.0268309680826339</c:v>
                </c:pt>
                <c:pt idx="38">
                  <c:v>0.0246035531481163</c:v>
                </c:pt>
                <c:pt idx="39">
                  <c:v>0.022553237209896</c:v>
                </c:pt>
                <c:pt idx="40">
                  <c:v>0.020666985354092</c:v>
                </c:pt>
                <c:pt idx="41">
                  <c:v>0.0189325719608034</c:v>
                </c:pt>
                <c:pt idx="42">
                  <c:v>0.0173385543785073</c:v>
                </c:pt>
                <c:pt idx="43">
                  <c:v>0.0158742428222843</c:v>
                </c:pt>
                <c:pt idx="44">
                  <c:v>0.0145296676872599</c:v>
                </c:pt>
                <c:pt idx="45">
                  <c:v>0.013295545235814</c:v>
                </c:pt>
                <c:pt idx="46">
                  <c:v>0.0121632424252203</c:v>
                </c:pt>
                <c:pt idx="47">
                  <c:v>0.0111247414842936</c:v>
                </c:pt>
                <c:pt idx="48">
                  <c:v>0.0101726047174813</c:v>
                </c:pt>
                <c:pt idx="49">
                  <c:v>0.00929993990783977</c:v>
                </c:pt>
                <c:pt idx="50">
                  <c:v>0.00850036660252036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769264"/>
        <c:axId val="90535274"/>
      </c:lineChart>
      <c:catAx>
        <c:axId val="83769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535274"/>
        <c:crosses val="autoZero"/>
        <c:auto val="1"/>
        <c:lblAlgn val="ctr"/>
        <c:lblOffset val="100"/>
        <c:noMultiLvlLbl val="0"/>
      </c:catAx>
      <c:valAx>
        <c:axId val="905352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769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t-распределение Стьюдента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"t-распределение Стьюдента"</c:f>
              <c:strCache>
                <c:ptCount val="1"/>
                <c:pt idx="0">
                  <c:v>t-распределение Стьюдента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'1.3 Распределение Стьюдента'!$C$2:$C$37</c:f>
              <c:strCache>
                <c:ptCount val="36"/>
                <c:pt idx="0">
                  <c:v>0</c:v>
                </c:pt>
                <c:pt idx="1">
                  <c:v>0,2</c:v>
                </c:pt>
                <c:pt idx="2">
                  <c:v>0,4</c:v>
                </c:pt>
                <c:pt idx="3">
                  <c:v>0,6</c:v>
                </c:pt>
                <c:pt idx="4">
                  <c:v>0,8</c:v>
                </c:pt>
                <c:pt idx="5">
                  <c:v>1</c:v>
                </c:pt>
                <c:pt idx="6">
                  <c:v>1,2</c:v>
                </c:pt>
                <c:pt idx="7">
                  <c:v>1,4</c:v>
                </c:pt>
                <c:pt idx="8">
                  <c:v>1,6</c:v>
                </c:pt>
                <c:pt idx="9">
                  <c:v>1,8</c:v>
                </c:pt>
                <c:pt idx="10">
                  <c:v>2</c:v>
                </c:pt>
                <c:pt idx="11">
                  <c:v>2,2</c:v>
                </c:pt>
                <c:pt idx="12">
                  <c:v>2,4</c:v>
                </c:pt>
                <c:pt idx="13">
                  <c:v>2,6</c:v>
                </c:pt>
                <c:pt idx="14">
                  <c:v>2,8</c:v>
                </c:pt>
                <c:pt idx="15">
                  <c:v>3</c:v>
                </c:pt>
                <c:pt idx="16">
                  <c:v>3,2</c:v>
                </c:pt>
                <c:pt idx="17">
                  <c:v>3,4</c:v>
                </c:pt>
                <c:pt idx="18">
                  <c:v>3,6</c:v>
                </c:pt>
                <c:pt idx="19">
                  <c:v>3,8</c:v>
                </c:pt>
                <c:pt idx="20">
                  <c:v>4</c:v>
                </c:pt>
                <c:pt idx="21">
                  <c:v>4,2</c:v>
                </c:pt>
                <c:pt idx="22">
                  <c:v>4,4</c:v>
                </c:pt>
                <c:pt idx="23">
                  <c:v>4,6</c:v>
                </c:pt>
                <c:pt idx="24">
                  <c:v>4,8</c:v>
                </c:pt>
                <c:pt idx="25">
                  <c:v>5</c:v>
                </c:pt>
                <c:pt idx="26">
                  <c:v>5,2</c:v>
                </c:pt>
                <c:pt idx="27">
                  <c:v>5,4</c:v>
                </c:pt>
                <c:pt idx="28">
                  <c:v>5,6</c:v>
                </c:pt>
                <c:pt idx="29">
                  <c:v>5,8</c:v>
                </c:pt>
                <c:pt idx="30">
                  <c:v>6</c:v>
                </c:pt>
                <c:pt idx="31">
                  <c:v>6,2</c:v>
                </c:pt>
                <c:pt idx="32">
                  <c:v>6,4</c:v>
                </c:pt>
                <c:pt idx="33">
                  <c:v>6,6</c:v>
                </c:pt>
                <c:pt idx="34">
                  <c:v>6,8</c:v>
                </c:pt>
                <c:pt idx="35">
                  <c:v>7</c:v>
                </c:pt>
              </c:strCache>
            </c:strRef>
          </c:cat>
          <c:val>
            <c:numRef>
              <c:f>'1.3 Распределение Стьюдента'!$D$2:$D$37</c:f>
              <c:numCache>
                <c:formatCode>General</c:formatCode>
                <c:ptCount val="36"/>
                <c:pt idx="0">
                  <c:v>0.379606689822495</c:v>
                </c:pt>
                <c:pt idx="1">
                  <c:v>0.370639977713969</c:v>
                </c:pt>
                <c:pt idx="2">
                  <c:v>0.345378075752733</c:v>
                </c:pt>
                <c:pt idx="3">
                  <c:v>0.30814100972342</c:v>
                </c:pt>
                <c:pt idx="4">
                  <c:v>0.264488356807957</c:v>
                </c:pt>
                <c:pt idx="5">
                  <c:v>0.219679797350981</c:v>
                </c:pt>
                <c:pt idx="6">
                  <c:v>0.177658613464935</c:v>
                </c:pt>
                <c:pt idx="7">
                  <c:v>0.140739547894915</c:v>
                </c:pt>
                <c:pt idx="8">
                  <c:v>0.109819252655991</c:v>
                </c:pt>
                <c:pt idx="9">
                  <c:v>0.0848129628969038</c:v>
                </c:pt>
                <c:pt idx="10">
                  <c:v>0.0650903103262165</c:v>
                </c:pt>
                <c:pt idx="11">
                  <c:v>0.0498033521511451</c:v>
                </c:pt>
                <c:pt idx="12">
                  <c:v>0.0380896565264319</c:v>
                </c:pt>
                <c:pt idx="13">
                  <c:v>0.0291757416859393</c:v>
                </c:pt>
                <c:pt idx="14">
                  <c:v>0.0224155190216772</c:v>
                </c:pt>
                <c:pt idx="15">
                  <c:v>0.0172925788002229</c:v>
                </c:pt>
                <c:pt idx="16">
                  <c:v>0.0134056837363289</c:v>
                </c:pt>
                <c:pt idx="17">
                  <c:v>0.0104487147493952</c:v>
                </c:pt>
                <c:pt idx="18">
                  <c:v>0.00819077268712905</c:v>
                </c:pt>
                <c:pt idx="19">
                  <c:v>0.00645884836436983</c:v>
                </c:pt>
                <c:pt idx="20">
                  <c:v>0.00512372705191791</c:v>
                </c:pt>
                <c:pt idx="21">
                  <c:v>0.00408897638953717</c:v>
                </c:pt>
                <c:pt idx="22">
                  <c:v>0.00328255505294261</c:v>
                </c:pt>
                <c:pt idx="23">
                  <c:v>0.00265051735027483</c:v>
                </c:pt>
                <c:pt idx="24">
                  <c:v>0.00215233487387578</c:v>
                </c:pt>
                <c:pt idx="25">
                  <c:v>0.00175743837880784</c:v>
                </c:pt>
                <c:pt idx="26">
                  <c:v>0.0014426678319857</c:v>
                </c:pt>
                <c:pt idx="27">
                  <c:v>0.00119039278068862</c:v>
                </c:pt>
                <c:pt idx="28">
                  <c:v>0.000987125217627791</c:v>
                </c:pt>
                <c:pt idx="29">
                  <c:v>0.000822493580856181</c:v>
                </c:pt>
                <c:pt idx="30">
                  <c:v>0.000688481540137428</c:v>
                </c:pt>
                <c:pt idx="31">
                  <c:v>0.000578861173465935</c:v>
                </c:pt>
                <c:pt idx="32">
                  <c:v>0.000488769176956846</c:v>
                </c:pt>
                <c:pt idx="33">
                  <c:v>0.000414388635241164</c:v>
                </c:pt>
                <c:pt idx="34">
                  <c:v>0.000352708972055887</c:v>
                </c:pt>
                <c:pt idx="35">
                  <c:v>0.000301344029288038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672258"/>
        <c:axId val="87821046"/>
      </c:lineChart>
      <c:catAx>
        <c:axId val="116722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821046"/>
        <c:crosses val="autoZero"/>
        <c:auto val="1"/>
        <c:lblAlgn val="ctr"/>
        <c:lblOffset val="100"/>
        <c:noMultiLvlLbl val="0"/>
      </c:catAx>
      <c:valAx>
        <c:axId val="878210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672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"Распределение Фишера, х"</c:f>
              <c:strCache>
                <c:ptCount val="1"/>
                <c:pt idx="0">
                  <c:v>Распределение Фишера, х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'1.4 Распределение Фишера'!$C$2:$C$27</c:f>
              <c:strCache>
                <c:ptCount val="26"/>
                <c:pt idx="0">
                  <c:v>0</c:v>
                </c:pt>
                <c:pt idx="1">
                  <c:v>0,2</c:v>
                </c:pt>
                <c:pt idx="2">
                  <c:v>0,4</c:v>
                </c:pt>
                <c:pt idx="3">
                  <c:v>0,6</c:v>
                </c:pt>
                <c:pt idx="4">
                  <c:v>0,8</c:v>
                </c:pt>
                <c:pt idx="5">
                  <c:v>1</c:v>
                </c:pt>
                <c:pt idx="6">
                  <c:v>1,2</c:v>
                </c:pt>
                <c:pt idx="7">
                  <c:v>1,4</c:v>
                </c:pt>
                <c:pt idx="8">
                  <c:v>1,6</c:v>
                </c:pt>
                <c:pt idx="9">
                  <c:v>1,8</c:v>
                </c:pt>
                <c:pt idx="10">
                  <c:v>2</c:v>
                </c:pt>
                <c:pt idx="11">
                  <c:v>2,2</c:v>
                </c:pt>
                <c:pt idx="12">
                  <c:v>2,4</c:v>
                </c:pt>
                <c:pt idx="13">
                  <c:v>2,6</c:v>
                </c:pt>
                <c:pt idx="14">
                  <c:v>2,8</c:v>
                </c:pt>
                <c:pt idx="15">
                  <c:v>3</c:v>
                </c:pt>
                <c:pt idx="16">
                  <c:v>3,2</c:v>
                </c:pt>
                <c:pt idx="17">
                  <c:v>3,4</c:v>
                </c:pt>
                <c:pt idx="18">
                  <c:v>3,6</c:v>
                </c:pt>
                <c:pt idx="19">
                  <c:v>3,8</c:v>
                </c:pt>
                <c:pt idx="20">
                  <c:v>4</c:v>
                </c:pt>
                <c:pt idx="21">
                  <c:v>4,2</c:v>
                </c:pt>
                <c:pt idx="22">
                  <c:v>4,4</c:v>
                </c:pt>
                <c:pt idx="23">
                  <c:v>4,6</c:v>
                </c:pt>
                <c:pt idx="24">
                  <c:v>4,8</c:v>
                </c:pt>
                <c:pt idx="25">
                  <c:v>5</c:v>
                </c:pt>
              </c:strCache>
            </c:strRef>
          </c:cat>
          <c:val>
            <c:numRef>
              <c:f>'1.4 Распределение Фишера'!$C$2:$C$27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"Распределение Фишера"</c:f>
              <c:strCache>
                <c:ptCount val="1"/>
                <c:pt idx="0">
                  <c:v>Распределение Фишера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'1.4 Распределение Фишера'!$C$2:$C$27</c:f>
              <c:strCache>
                <c:ptCount val="26"/>
                <c:pt idx="0">
                  <c:v>0</c:v>
                </c:pt>
                <c:pt idx="1">
                  <c:v>0,2</c:v>
                </c:pt>
                <c:pt idx="2">
                  <c:v>0,4</c:v>
                </c:pt>
                <c:pt idx="3">
                  <c:v>0,6</c:v>
                </c:pt>
                <c:pt idx="4">
                  <c:v>0,8</c:v>
                </c:pt>
                <c:pt idx="5">
                  <c:v>1</c:v>
                </c:pt>
                <c:pt idx="6">
                  <c:v>1,2</c:v>
                </c:pt>
                <c:pt idx="7">
                  <c:v>1,4</c:v>
                </c:pt>
                <c:pt idx="8">
                  <c:v>1,6</c:v>
                </c:pt>
                <c:pt idx="9">
                  <c:v>1,8</c:v>
                </c:pt>
                <c:pt idx="10">
                  <c:v>2</c:v>
                </c:pt>
                <c:pt idx="11">
                  <c:v>2,2</c:v>
                </c:pt>
                <c:pt idx="12">
                  <c:v>2,4</c:v>
                </c:pt>
                <c:pt idx="13">
                  <c:v>2,6</c:v>
                </c:pt>
                <c:pt idx="14">
                  <c:v>2,8</c:v>
                </c:pt>
                <c:pt idx="15">
                  <c:v>3</c:v>
                </c:pt>
                <c:pt idx="16">
                  <c:v>3,2</c:v>
                </c:pt>
                <c:pt idx="17">
                  <c:v>3,4</c:v>
                </c:pt>
                <c:pt idx="18">
                  <c:v>3,6</c:v>
                </c:pt>
                <c:pt idx="19">
                  <c:v>3,8</c:v>
                </c:pt>
                <c:pt idx="20">
                  <c:v>4</c:v>
                </c:pt>
                <c:pt idx="21">
                  <c:v>4,2</c:v>
                </c:pt>
                <c:pt idx="22">
                  <c:v>4,4</c:v>
                </c:pt>
                <c:pt idx="23">
                  <c:v>4,6</c:v>
                </c:pt>
                <c:pt idx="24">
                  <c:v>4,8</c:v>
                </c:pt>
                <c:pt idx="25">
                  <c:v>5</c:v>
                </c:pt>
              </c:strCache>
            </c:strRef>
          </c:cat>
          <c:val>
            <c:numRef>
              <c:f>'1.4 Распределение Фишера'!$D$2:$D$27</c:f>
              <c:numCache>
                <c:formatCode>General</c:formatCode>
                <c:ptCount val="26"/>
                <c:pt idx="0">
                  <c:v>0</c:v>
                </c:pt>
                <c:pt idx="1">
                  <c:v>0.500879226959953</c:v>
                </c:pt>
                <c:pt idx="2">
                  <c:v>0.623680846346818</c:v>
                </c:pt>
                <c:pt idx="3">
                  <c:v>0.572583385458872</c:v>
                </c:pt>
                <c:pt idx="4">
                  <c:v>0.483373776201742</c:v>
                </c:pt>
                <c:pt idx="5">
                  <c:v>0.39761407921807</c:v>
                </c:pt>
                <c:pt idx="6">
                  <c:v>0.325330601081423</c:v>
                </c:pt>
                <c:pt idx="7">
                  <c:v>0.266979562363608</c:v>
                </c:pt>
                <c:pt idx="8">
                  <c:v>0.220504477874</c:v>
                </c:pt>
                <c:pt idx="9">
                  <c:v>0.183534079840636</c:v>
                </c:pt>
                <c:pt idx="10">
                  <c:v>0.154000410847033</c:v>
                </c:pt>
                <c:pt idx="11">
                  <c:v>0.130249601126876</c:v>
                </c:pt>
                <c:pt idx="12">
                  <c:v>0.11100179125655</c:v>
                </c:pt>
                <c:pt idx="13">
                  <c:v>0.0952780636364074</c:v>
                </c:pt>
                <c:pt idx="14">
                  <c:v>0.0823310815438227</c:v>
                </c:pt>
                <c:pt idx="15">
                  <c:v>0.0715885760906202</c:v>
                </c:pt>
                <c:pt idx="16">
                  <c:v>0.0626099033699941</c:v>
                </c:pt>
                <c:pt idx="17">
                  <c:v>0.0550534570936236</c:v>
                </c:pt>
                <c:pt idx="18">
                  <c:v>0.0486524521251941</c:v>
                </c:pt>
                <c:pt idx="19">
                  <c:v>0.0431969595114616</c:v>
                </c:pt>
                <c:pt idx="20">
                  <c:v>0.038520547021044</c:v>
                </c:pt>
                <c:pt idx="21">
                  <c:v>0.0344902977105156</c:v>
                </c:pt>
                <c:pt idx="22">
                  <c:v>0.0309993077306469</c:v>
                </c:pt>
                <c:pt idx="23">
                  <c:v>0.0279610100322584</c:v>
                </c:pt>
                <c:pt idx="24">
                  <c:v>0.0253048496657949</c:v>
                </c:pt>
                <c:pt idx="25">
                  <c:v>0.0229729656112522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597430"/>
        <c:axId val="91358021"/>
      </c:lineChart>
      <c:catAx>
        <c:axId val="785974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358021"/>
        <c:crosses val="autoZero"/>
        <c:auto val="1"/>
        <c:lblAlgn val="ctr"/>
        <c:lblOffset val="100"/>
        <c:noMultiLvlLbl val="0"/>
      </c:catAx>
      <c:valAx>
        <c:axId val="913580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597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"Полигон(Гистограмма)"</c:f>
              <c:strCache>
                <c:ptCount val="1"/>
                <c:pt idx="0">
                  <c:v>Полигон(Гистограмма)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'Часть 2'!$D$1:$D$9</c:f>
              <c:strCache>
                <c:ptCount val="9"/>
                <c:pt idx="0">
                  <c:v>44</c:v>
                </c:pt>
                <c:pt idx="1">
                  <c:v>46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</c:strCache>
            </c:strRef>
          </c:cat>
          <c:val>
            <c:numRef>
              <c:f>'Часть 2'!$E$1:$E$9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</c:ser>
        <c:gapWidth val="300"/>
        <c:overlap val="0"/>
        <c:axId val="89192334"/>
        <c:axId val="82264837"/>
      </c:barChart>
      <c:catAx>
        <c:axId val="89192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ИНТЕРВАЛЫ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264837"/>
        <c:crosses val="autoZero"/>
        <c:auto val="1"/>
        <c:lblAlgn val="ctr"/>
        <c:lblOffset val="100"/>
        <c:noMultiLvlLbl val="0"/>
      </c:catAx>
      <c:valAx>
        <c:axId val="822648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192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"Полигон"</c:f>
              <c:strCache>
                <c:ptCount val="1"/>
                <c:pt idx="0">
                  <c:v>Полигон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'Часть 2'!$D$1:$D$9</c:f>
              <c:strCache>
                <c:ptCount val="9"/>
                <c:pt idx="0">
                  <c:v>44</c:v>
                </c:pt>
                <c:pt idx="1">
                  <c:v>46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</c:strCache>
            </c:strRef>
          </c:cat>
          <c:val>
            <c:numRef>
              <c:f>'Часть 2'!$E$1:$E$9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519839"/>
        <c:axId val="56018173"/>
      </c:lineChart>
      <c:catAx>
        <c:axId val="47519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ИНТЕРВАЛЫ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018173"/>
        <c:crosses val="autoZero"/>
        <c:auto val="1"/>
        <c:lblAlgn val="ctr"/>
        <c:lblOffset val="100"/>
        <c:noMultiLvlLbl val="0"/>
      </c:catAx>
      <c:valAx>
        <c:axId val="560181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519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"Кумулятивная кривая"</c:f>
              <c:strCache>
                <c:ptCount val="1"/>
                <c:pt idx="0">
                  <c:v>Кумулятивная кривая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'Часть 2'!$D$1:$D$9</c:f>
              <c:strCache>
                <c:ptCount val="9"/>
                <c:pt idx="0">
                  <c:v>44</c:v>
                </c:pt>
                <c:pt idx="1">
                  <c:v>46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</c:strCache>
            </c:strRef>
          </c:cat>
          <c:val>
            <c:numRef>
              <c:f>'Часть 2'!$F$1:$F$9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  <c:pt idx="7">
                  <c:v>22</c:v>
                </c:pt>
                <c:pt idx="8">
                  <c:v>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044043"/>
        <c:axId val="32692739"/>
      </c:lineChart>
      <c:catAx>
        <c:axId val="12044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ИНТЕРВАЛЫ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692739"/>
        <c:crosses val="autoZero"/>
        <c:auto val="1"/>
        <c:lblAlgn val="ctr"/>
        <c:lblOffset val="100"/>
        <c:noMultiLvlLbl val="0"/>
      </c:catAx>
      <c:valAx>
        <c:axId val="326927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044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457200</xdr:colOff>
      <xdr:row>4</xdr:row>
      <xdr:rowOff>92160</xdr:rowOff>
    </xdr:from>
    <xdr:to>
      <xdr:col>13</xdr:col>
      <xdr:colOff>151920</xdr:colOff>
      <xdr:row>19</xdr:row>
      <xdr:rowOff>72720</xdr:rowOff>
    </xdr:to>
    <xdr:graphicFrame>
      <xdr:nvGraphicFramePr>
        <xdr:cNvPr id="0" name="Диаграмма 1"/>
        <xdr:cNvGraphicFramePr/>
      </xdr:nvGraphicFramePr>
      <xdr:xfrm>
        <a:off x="4064040" y="816120"/>
        <a:ext cx="463248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25560</xdr:colOff>
      <xdr:row>5</xdr:row>
      <xdr:rowOff>174600</xdr:rowOff>
    </xdr:from>
    <xdr:to>
      <xdr:col>15</xdr:col>
      <xdr:colOff>171360</xdr:colOff>
      <xdr:row>20</xdr:row>
      <xdr:rowOff>155160</xdr:rowOff>
    </xdr:to>
    <xdr:graphicFrame>
      <xdr:nvGraphicFramePr>
        <xdr:cNvPr id="1" name="Диаграмма 1"/>
        <xdr:cNvGraphicFramePr/>
      </xdr:nvGraphicFramePr>
      <xdr:xfrm>
        <a:off x="4480560" y="1079640"/>
        <a:ext cx="570096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406440</xdr:colOff>
      <xdr:row>5</xdr:row>
      <xdr:rowOff>54000</xdr:rowOff>
    </xdr:from>
    <xdr:to>
      <xdr:col>13</xdr:col>
      <xdr:colOff>101160</xdr:colOff>
      <xdr:row>20</xdr:row>
      <xdr:rowOff>34560</xdr:rowOff>
    </xdr:to>
    <xdr:graphicFrame>
      <xdr:nvGraphicFramePr>
        <xdr:cNvPr id="2" name="Диаграмма 1"/>
        <xdr:cNvGraphicFramePr/>
      </xdr:nvGraphicFramePr>
      <xdr:xfrm>
        <a:off x="4109760" y="959040"/>
        <a:ext cx="463248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139680</xdr:colOff>
      <xdr:row>4</xdr:row>
      <xdr:rowOff>41400</xdr:rowOff>
    </xdr:from>
    <xdr:to>
      <xdr:col>12</xdr:col>
      <xdr:colOff>444240</xdr:colOff>
      <xdr:row>19</xdr:row>
      <xdr:rowOff>21960</xdr:rowOff>
    </xdr:to>
    <xdr:graphicFrame>
      <xdr:nvGraphicFramePr>
        <xdr:cNvPr id="3" name="Диаграмма 1"/>
        <xdr:cNvGraphicFramePr/>
      </xdr:nvGraphicFramePr>
      <xdr:xfrm>
        <a:off x="3606120" y="765360"/>
        <a:ext cx="462528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505440</xdr:colOff>
      <xdr:row>18</xdr:row>
      <xdr:rowOff>100800</xdr:rowOff>
    </xdr:from>
    <xdr:to>
      <xdr:col>9</xdr:col>
      <xdr:colOff>31320</xdr:colOff>
      <xdr:row>33</xdr:row>
      <xdr:rowOff>42120</xdr:rowOff>
    </xdr:to>
    <xdr:graphicFrame>
      <xdr:nvGraphicFramePr>
        <xdr:cNvPr id="4" name="Диаграмма 1"/>
        <xdr:cNvGraphicFramePr/>
      </xdr:nvGraphicFramePr>
      <xdr:xfrm>
        <a:off x="1122840" y="3358440"/>
        <a:ext cx="4608720" cy="265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467280</xdr:colOff>
      <xdr:row>36</xdr:row>
      <xdr:rowOff>24840</xdr:rowOff>
    </xdr:from>
    <xdr:to>
      <xdr:col>8</xdr:col>
      <xdr:colOff>605520</xdr:colOff>
      <xdr:row>50</xdr:row>
      <xdr:rowOff>147600</xdr:rowOff>
    </xdr:to>
    <xdr:graphicFrame>
      <xdr:nvGraphicFramePr>
        <xdr:cNvPr id="5" name="Диаграмма 2"/>
        <xdr:cNvGraphicFramePr/>
      </xdr:nvGraphicFramePr>
      <xdr:xfrm>
        <a:off x="1084680" y="6540120"/>
        <a:ext cx="460404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154080</xdr:colOff>
      <xdr:row>12</xdr:row>
      <xdr:rowOff>7200</xdr:rowOff>
    </xdr:from>
    <xdr:to>
      <xdr:col>16</xdr:col>
      <xdr:colOff>471240</xdr:colOff>
      <xdr:row>27</xdr:row>
      <xdr:rowOff>28440</xdr:rowOff>
    </xdr:to>
    <xdr:graphicFrame>
      <xdr:nvGraphicFramePr>
        <xdr:cNvPr id="6" name="Диаграмма 3"/>
        <xdr:cNvGraphicFramePr/>
      </xdr:nvGraphicFramePr>
      <xdr:xfrm>
        <a:off x="5854320" y="2179080"/>
        <a:ext cx="463788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15" activeCellId="0" sqref="A15"/>
    </sheetView>
  </sheetViews>
  <sheetFormatPr defaultColWidth="8.7578125" defaultRowHeight="14.25" zeroHeight="false" outlineLevelRow="0" outlineLevelCol="0"/>
  <cols>
    <col collapsed="false" customWidth="true" hidden="false" outlineLevel="0" max="3" min="3" style="0" width="13.54"/>
    <col collapsed="false" customWidth="true" hidden="false" outlineLevel="0" max="4" min="4" style="0" width="11.36"/>
  </cols>
  <sheetData>
    <row r="1" customFormat="false" ht="14.25" hidden="false" customHeight="false" outlineLevel="0" collapsed="false">
      <c r="A1" s="0" t="s">
        <v>0</v>
      </c>
      <c r="B1" s="0" t="n">
        <v>3</v>
      </c>
      <c r="C1" s="0" t="s">
        <v>1</v>
      </c>
      <c r="D1" s="0" t="s">
        <v>2</v>
      </c>
    </row>
    <row r="2" customFormat="false" ht="14.25" hidden="false" customHeight="false" outlineLevel="0" collapsed="false">
      <c r="A2" s="0" t="s">
        <v>3</v>
      </c>
      <c r="B2" s="0" t="n">
        <v>1</v>
      </c>
      <c r="C2" s="0" t="n">
        <v>0</v>
      </c>
      <c r="D2" s="0" t="n">
        <f aca="false">NORMDIST($C2,$B$1,$B$2,0)</f>
        <v>0.00443184841193801</v>
      </c>
    </row>
    <row r="3" customFormat="false" ht="14.25" hidden="false" customHeight="false" outlineLevel="0" collapsed="false">
      <c r="C3" s="0" t="n">
        <f aca="false">$C2+0.2</f>
        <v>0.2</v>
      </c>
      <c r="D3" s="0" t="n">
        <f aca="false">NORMDIST($C3,$B$1,$B$2,0)</f>
        <v>0.00791545158297997</v>
      </c>
    </row>
    <row r="4" customFormat="false" ht="14.25" hidden="false" customHeight="false" outlineLevel="0" collapsed="false">
      <c r="C4" s="0" t="n">
        <f aca="false">$C3+0.2</f>
        <v>0.4</v>
      </c>
      <c r="D4" s="0" t="n">
        <f aca="false">NORMDIST($C4,$B$1,$B$2,0)</f>
        <v>0.0135829692336856</v>
      </c>
    </row>
    <row r="5" customFormat="false" ht="14.25" hidden="false" customHeight="false" outlineLevel="0" collapsed="false">
      <c r="C5" s="0" t="n">
        <f aca="false">$C4+0.2</f>
        <v>0.6</v>
      </c>
      <c r="D5" s="0" t="n">
        <f aca="false">NORMDIST($C5,$B$1,$B$2,0)</f>
        <v>0.0223945302948429</v>
      </c>
    </row>
    <row r="6" customFormat="false" ht="14.25" hidden="false" customHeight="false" outlineLevel="0" collapsed="false">
      <c r="C6" s="0" t="n">
        <f aca="false">$C5+0.2</f>
        <v>0.8</v>
      </c>
      <c r="D6" s="0" t="n">
        <f aca="false">NORMDIST($C6,$B$1,$B$2,0)</f>
        <v>0.0354745928462314</v>
      </c>
    </row>
    <row r="7" customFormat="false" ht="14.25" hidden="false" customHeight="false" outlineLevel="0" collapsed="false">
      <c r="C7" s="0" t="n">
        <f aca="false">$C6+0.2</f>
        <v>1</v>
      </c>
      <c r="D7" s="0" t="n">
        <f aca="false">NORMDIST($C7,$B$1,$B$2,0)</f>
        <v>0.0539909665131881</v>
      </c>
    </row>
    <row r="8" customFormat="false" ht="14.25" hidden="false" customHeight="false" outlineLevel="0" collapsed="false">
      <c r="C8" s="0" t="n">
        <f aca="false">$C7+0.2</f>
        <v>1.2</v>
      </c>
      <c r="D8" s="0" t="n">
        <f aca="false">NORMDIST($C8,$B$1,$B$2,0)</f>
        <v>0.0789501583008942</v>
      </c>
    </row>
    <row r="9" customFormat="false" ht="14.25" hidden="false" customHeight="false" outlineLevel="0" collapsed="false">
      <c r="C9" s="0" t="n">
        <f aca="false">$C8+0.2</f>
        <v>1.4</v>
      </c>
      <c r="D9" s="0" t="n">
        <f aca="false">NORMDIST($C9,$B$1,$B$2,0)</f>
        <v>0.110920834679456</v>
      </c>
    </row>
    <row r="10" customFormat="false" ht="14.25" hidden="false" customHeight="false" outlineLevel="0" collapsed="false">
      <c r="C10" s="0" t="n">
        <f aca="false">$C9+0.2</f>
        <v>1.6</v>
      </c>
      <c r="D10" s="0" t="n">
        <f aca="false">NORMDIST($C10,$B$1,$B$2,0)</f>
        <v>0.149727465635745</v>
      </c>
    </row>
    <row r="11" customFormat="false" ht="14.25" hidden="false" customHeight="false" outlineLevel="0" collapsed="false">
      <c r="C11" s="0" t="n">
        <f aca="false">$C10+0.2</f>
        <v>1.8</v>
      </c>
      <c r="D11" s="0" t="n">
        <f aca="false">NORMDIST($C11,$B$1,$B$2,0)</f>
        <v>0.194186054983213</v>
      </c>
    </row>
    <row r="12" customFormat="false" ht="14.25" hidden="false" customHeight="false" outlineLevel="0" collapsed="false">
      <c r="C12" s="0" t="n">
        <f aca="false">$C11+0.2</f>
        <v>2</v>
      </c>
      <c r="D12" s="0" t="n">
        <f aca="false">NORMDIST($C12,$B$1,$B$2,0)</f>
        <v>0.241970724519143</v>
      </c>
    </row>
    <row r="13" customFormat="false" ht="14.25" hidden="false" customHeight="false" outlineLevel="0" collapsed="false">
      <c r="C13" s="0" t="n">
        <f aca="false">$C12+0.2</f>
        <v>2.2</v>
      </c>
      <c r="D13" s="0" t="n">
        <f aca="false">NORMDIST($C13,$B$1,$B$2,0)</f>
        <v>0.289691552761483</v>
      </c>
    </row>
    <row r="14" customFormat="false" ht="14.25" hidden="false" customHeight="false" outlineLevel="0" collapsed="false">
      <c r="C14" s="0" t="n">
        <f aca="false">$C13+0.2</f>
        <v>2.4</v>
      </c>
      <c r="D14" s="0" t="n">
        <f aca="false">NORMDIST($C14,$B$1,$B$2,0)</f>
        <v>0.3332246028918</v>
      </c>
    </row>
    <row r="15" customFormat="false" ht="14.25" hidden="false" customHeight="false" outlineLevel="0" collapsed="false">
      <c r="C15" s="0" t="n">
        <f aca="false">$C14+0.2</f>
        <v>2.6</v>
      </c>
      <c r="D15" s="0" t="n">
        <f aca="false">NORMDIST($C15,$B$1,$B$2,0)</f>
        <v>0.368270140303323</v>
      </c>
    </row>
    <row r="16" customFormat="false" ht="14.25" hidden="false" customHeight="false" outlineLevel="0" collapsed="false">
      <c r="C16" s="0" t="n">
        <f aca="false">$C15+0.2</f>
        <v>2.8</v>
      </c>
      <c r="D16" s="0" t="n">
        <f aca="false">NORMDIST($C16,$B$1,$B$2,0)</f>
        <v>0.391042693975456</v>
      </c>
    </row>
    <row r="17" customFormat="false" ht="14.25" hidden="false" customHeight="false" outlineLevel="0" collapsed="false">
      <c r="C17" s="0" t="n">
        <f aca="false">$C16+0.2</f>
        <v>3</v>
      </c>
      <c r="D17" s="0" t="n">
        <f aca="false">NORMDIST($C17,$B$1,$B$2,0)</f>
        <v>0.398942280401433</v>
      </c>
    </row>
    <row r="18" customFormat="false" ht="14.25" hidden="false" customHeight="false" outlineLevel="0" collapsed="false">
      <c r="C18" s="0" t="n">
        <f aca="false">$C17+0.2</f>
        <v>3.2</v>
      </c>
      <c r="D18" s="0" t="n">
        <f aca="false">NORMDIST($C18,$B$1,$B$2,0)</f>
        <v>0.391042693975456</v>
      </c>
    </row>
    <row r="19" customFormat="false" ht="14.25" hidden="false" customHeight="false" outlineLevel="0" collapsed="false">
      <c r="C19" s="0" t="n">
        <f aca="false">$C18+0.2</f>
        <v>3.4</v>
      </c>
      <c r="D19" s="0" t="n">
        <f aca="false">NORMDIST($C19,$B$1,$B$2,0)</f>
        <v>0.368270140303323</v>
      </c>
    </row>
    <row r="20" customFormat="false" ht="14.25" hidden="false" customHeight="false" outlineLevel="0" collapsed="false">
      <c r="C20" s="0" t="n">
        <f aca="false">$C19+0.2</f>
        <v>3.6</v>
      </c>
      <c r="D20" s="0" t="n">
        <f aca="false">NORMDIST($C20,$B$1,$B$2,0)</f>
        <v>0.333224602891799</v>
      </c>
    </row>
    <row r="21" customFormat="false" ht="14.25" hidden="false" customHeight="false" outlineLevel="0" collapsed="false">
      <c r="C21" s="0" t="n">
        <f aca="false">$C20+0.2</f>
        <v>3.8</v>
      </c>
      <c r="D21" s="0" t="n">
        <f aca="false">NORMDIST($C21,$B$1,$B$2,0)</f>
        <v>0.289691552761483</v>
      </c>
    </row>
    <row r="22" customFormat="false" ht="14.25" hidden="false" customHeight="false" outlineLevel="0" collapsed="false">
      <c r="C22" s="0" t="n">
        <f aca="false">$C21+0.2</f>
        <v>4</v>
      </c>
      <c r="D22" s="0" t="n">
        <f aca="false">NORMDIST($C22,$B$1,$B$2,0)</f>
        <v>0.241970724519143</v>
      </c>
    </row>
    <row r="23" customFormat="false" ht="14.25" hidden="false" customHeight="false" outlineLevel="0" collapsed="false">
      <c r="C23" s="0" t="n">
        <f aca="false">$C22+0.2</f>
        <v>4.2</v>
      </c>
      <c r="D23" s="0" t="n">
        <f aca="false">NORMDIST($C23,$B$1,$B$2,0)</f>
        <v>0.194186054983213</v>
      </c>
    </row>
    <row r="24" customFormat="false" ht="14.25" hidden="false" customHeight="false" outlineLevel="0" collapsed="false">
      <c r="C24" s="0" t="n">
        <f aca="false">$C23+0.2</f>
        <v>4.4</v>
      </c>
      <c r="D24" s="0" t="n">
        <f aca="false">NORMDIST($C24,$B$1,$B$2,0)</f>
        <v>0.149727465635745</v>
      </c>
    </row>
    <row r="25" customFormat="false" ht="14.25" hidden="false" customHeight="false" outlineLevel="0" collapsed="false">
      <c r="C25" s="0" t="n">
        <f aca="false">$C24+0.2</f>
        <v>4.6</v>
      </c>
      <c r="D25" s="0" t="n">
        <f aca="false">NORMDIST($C25,$B$1,$B$2,0)</f>
        <v>0.110920834679455</v>
      </c>
    </row>
    <row r="26" customFormat="false" ht="14.25" hidden="false" customHeight="false" outlineLevel="0" collapsed="false">
      <c r="C26" s="0" t="n">
        <f aca="false">$C25+0.2</f>
        <v>4.8</v>
      </c>
      <c r="D26" s="0" t="n">
        <f aca="false">NORMDIST($C26,$B$1,$B$2,0)</f>
        <v>0.0789501583008939</v>
      </c>
    </row>
    <row r="27" customFormat="false" ht="14.25" hidden="false" customHeight="false" outlineLevel="0" collapsed="false">
      <c r="C27" s="0" t="n">
        <f aca="false">$C26+0.2</f>
        <v>5</v>
      </c>
      <c r="D27" s="0" t="n">
        <f aca="false">NORMDIST($C27,$B$1,$B$2,0)</f>
        <v>0.0539909665131879</v>
      </c>
    </row>
    <row r="28" customFormat="false" ht="14.25" hidden="false" customHeight="false" outlineLevel="0" collapsed="false">
      <c r="C28" s="0" t="n">
        <f aca="false">$C27+0.2</f>
        <v>5.2</v>
      </c>
      <c r="D28" s="0" t="n">
        <f aca="false">NORMDIST($C28,$B$1,$B$2,0)</f>
        <v>0.0354745928462313</v>
      </c>
    </row>
    <row r="29" customFormat="false" ht="14.25" hidden="false" customHeight="false" outlineLevel="0" collapsed="false">
      <c r="C29" s="0" t="n">
        <f aca="false">$C28+0.2</f>
        <v>5.4</v>
      </c>
      <c r="D29" s="0" t="n">
        <f aca="false">NORMDIST($C29,$B$1,$B$2,0)</f>
        <v>0.0223945302948428</v>
      </c>
    </row>
    <row r="30" customFormat="false" ht="14.25" hidden="false" customHeight="false" outlineLevel="0" collapsed="false">
      <c r="C30" s="0" t="n">
        <f aca="false">$C29+0.2</f>
        <v>5.6</v>
      </c>
      <c r="D30" s="0" t="n">
        <f aca="false">NORMDIST($C30,$B$1,$B$2,0)</f>
        <v>0.0135829692336855</v>
      </c>
    </row>
    <row r="31" customFormat="false" ht="14.25" hidden="false" customHeight="false" outlineLevel="0" collapsed="false">
      <c r="C31" s="0" t="n">
        <f aca="false">$C30+0.2</f>
        <v>5.8</v>
      </c>
      <c r="D31" s="0" t="n">
        <f aca="false">NORMDIST($C31,$B$1,$B$2,0)</f>
        <v>0.00791545158297991</v>
      </c>
    </row>
    <row r="32" customFormat="false" ht="14.25" hidden="false" customHeight="false" outlineLevel="0" collapsed="false">
      <c r="C32" s="0" t="n">
        <f aca="false">$C31+0.2</f>
        <v>6</v>
      </c>
      <c r="D32" s="0" t="n">
        <f aca="false">NORMDIST($C32,$B$1,$B$2,0)</f>
        <v>0.00443184841193797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R50" activeCellId="0" sqref="R50"/>
    </sheetView>
  </sheetViews>
  <sheetFormatPr defaultColWidth="8.7578125" defaultRowHeight="14.25" zeroHeight="false" outlineLevelRow="0" outlineLevelCol="0"/>
  <cols>
    <col collapsed="false" customWidth="true" hidden="false" outlineLevel="0" max="3" min="3" style="0" width="14.18"/>
    <col collapsed="false" customWidth="true" hidden="false" outlineLevel="0" max="4" min="4" style="0" width="14"/>
  </cols>
  <sheetData>
    <row r="1" customFormat="false" ht="14.25" hidden="false" customHeight="false" outlineLevel="0" collapsed="false">
      <c r="A1" s="0" t="s">
        <v>4</v>
      </c>
      <c r="B1" s="0" t="n">
        <v>3</v>
      </c>
      <c r="C1" s="0" t="s">
        <v>5</v>
      </c>
      <c r="D1" s="0" t="s">
        <v>6</v>
      </c>
    </row>
    <row r="2" customFormat="false" ht="14.25" hidden="false" customHeight="false" outlineLevel="0" collapsed="false">
      <c r="C2" s="0" t="n">
        <v>0</v>
      </c>
      <c r="D2" s="0" t="n">
        <f aca="false">_xlfn.CHISQ.DIST($C2,$B$1,0)</f>
        <v>0</v>
      </c>
    </row>
    <row r="3" customFormat="false" ht="14.25" hidden="false" customHeight="false" outlineLevel="0" collapsed="false">
      <c r="C3" s="0" t="n">
        <f aca="false">$C2+0.2</f>
        <v>0.2</v>
      </c>
      <c r="D3" s="0" t="n">
        <f aca="false">_xlfn.CHISQ.DIST($C3,$B$1,0)</f>
        <v>0.161434225871536</v>
      </c>
    </row>
    <row r="4" customFormat="false" ht="14.25" hidden="false" customHeight="false" outlineLevel="0" collapsed="false">
      <c r="C4" s="0" t="n">
        <f aca="false">$C3+0.2</f>
        <v>0.4</v>
      </c>
      <c r="D4" s="0" t="n">
        <f aca="false">_xlfn.CHISQ.DIST($C4,$B$1,0)</f>
        <v>0.206576618986911</v>
      </c>
    </row>
    <row r="5" customFormat="false" ht="14.25" hidden="false" customHeight="false" outlineLevel="0" collapsed="false">
      <c r="C5" s="0" t="n">
        <f aca="false">$C4+0.2</f>
        <v>0.6</v>
      </c>
      <c r="D5" s="0" t="n">
        <f aca="false">_xlfn.CHISQ.DIST($C5,$B$1,0)</f>
        <v>0.228927173630456</v>
      </c>
    </row>
    <row r="6" customFormat="false" ht="14.25" hidden="false" customHeight="false" outlineLevel="0" collapsed="false">
      <c r="C6" s="0" t="n">
        <f aca="false">$C5+0.2</f>
        <v>0.8</v>
      </c>
      <c r="D6" s="0" t="n">
        <f aca="false">_xlfn.CHISQ.DIST($C6,$B$1,0)</f>
        <v>0.239186831934564</v>
      </c>
    </row>
    <row r="7" customFormat="false" ht="14.25" hidden="false" customHeight="false" outlineLevel="0" collapsed="false">
      <c r="C7" s="0" t="n">
        <f aca="false">$C6+0.2</f>
        <v>1</v>
      </c>
      <c r="D7" s="0" t="n">
        <f aca="false">_xlfn.CHISQ.DIST($C7,$B$1,0)</f>
        <v>0.241970724519143</v>
      </c>
    </row>
    <row r="8" customFormat="false" ht="14.25" hidden="false" customHeight="false" outlineLevel="0" collapsed="false">
      <c r="C8" s="0" t="n">
        <f aca="false">$C7+0.2</f>
        <v>1.2</v>
      </c>
      <c r="D8" s="0" t="n">
        <f aca="false">_xlfn.CHISQ.DIST($C8,$B$1,0)</f>
        <v>0.23984131668208</v>
      </c>
    </row>
    <row r="9" customFormat="false" ht="14.25" hidden="false" customHeight="false" outlineLevel="0" collapsed="false">
      <c r="C9" s="0" t="n">
        <f aca="false">$C8+0.2</f>
        <v>1.4</v>
      </c>
      <c r="D9" s="0" t="n">
        <f aca="false">_xlfn.CHISQ.DIST($C9,$B$1,0)</f>
        <v>0.234405580283117</v>
      </c>
    </row>
    <row r="10" customFormat="false" ht="14.25" hidden="false" customHeight="false" outlineLevel="0" collapsed="false">
      <c r="C10" s="0" t="n">
        <f aca="false">$C9+0.2</f>
        <v>1.6</v>
      </c>
      <c r="D10" s="0" t="n">
        <f aca="false">_xlfn.CHISQ.DIST($C10,$B$1,0)</f>
        <v>0.226743304489958</v>
      </c>
    </row>
    <row r="11" customFormat="false" ht="14.25" hidden="false" customHeight="false" outlineLevel="0" collapsed="false">
      <c r="C11" s="0" t="n">
        <f aca="false">$C10+0.2</f>
        <v>1.8</v>
      </c>
      <c r="D11" s="0" t="n">
        <f aca="false">_xlfn.CHISQ.DIST($C11,$B$1,0)</f>
        <v>0.217611220451769</v>
      </c>
    </row>
    <row r="12" customFormat="false" ht="14.25" hidden="false" customHeight="false" outlineLevel="0" collapsed="false">
      <c r="C12" s="0" t="n">
        <f aca="false">$C11+0.2</f>
        <v>2</v>
      </c>
      <c r="D12" s="0" t="n">
        <f aca="false">_xlfn.CHISQ.DIST($C12,$B$1,0)</f>
        <v>0.207553748710297</v>
      </c>
    </row>
    <row r="13" customFormat="false" ht="14.25" hidden="false" customHeight="false" outlineLevel="0" collapsed="false">
      <c r="C13" s="0" t="n">
        <f aca="false">$C12+0.2</f>
        <v>2.2</v>
      </c>
      <c r="D13" s="0" t="n">
        <f aca="false">_xlfn.CHISQ.DIST($C13,$B$1,0)</f>
        <v>0.196968816820914</v>
      </c>
    </row>
    <row r="14" customFormat="false" ht="14.25" hidden="false" customHeight="false" outlineLevel="0" collapsed="false">
      <c r="C14" s="0" t="n">
        <f aca="false">$C13+0.2</f>
        <v>2.4</v>
      </c>
      <c r="D14" s="0" t="n">
        <f aca="false">_xlfn.CHISQ.DIST($C14,$B$1,0)</f>
        <v>0.186149686176623</v>
      </c>
    </row>
    <row r="15" customFormat="false" ht="14.25" hidden="false" customHeight="false" outlineLevel="0" collapsed="false">
      <c r="C15" s="0" t="n">
        <f aca="false">$C14+0.2</f>
        <v>2.6</v>
      </c>
      <c r="D15" s="0" t="n">
        <f aca="false">_xlfn.CHISQ.DIST($C15,$B$1,0)</f>
        <v>0.175312915942402</v>
      </c>
    </row>
    <row r="16" customFormat="false" ht="14.25" hidden="false" customHeight="false" outlineLevel="0" collapsed="false">
      <c r="C16" s="0" t="n">
        <f aca="false">$C15+0.2</f>
        <v>2.8</v>
      </c>
      <c r="D16" s="0" t="n">
        <f aca="false">_xlfn.CHISQ.DIST($C16,$B$1,0)</f>
        <v>0.164617805107125</v>
      </c>
    </row>
    <row r="17" customFormat="false" ht="14.25" hidden="false" customHeight="false" outlineLevel="0" collapsed="false">
      <c r="C17" s="0" t="n">
        <f aca="false">$C16+0.2</f>
        <v>3</v>
      </c>
      <c r="D17" s="0" t="n">
        <f aca="false">_xlfn.CHISQ.DIST($C17,$B$1,0)</f>
        <v>0.154180329803769</v>
      </c>
    </row>
    <row r="18" customFormat="false" ht="14.25" hidden="false" customHeight="false" outlineLevel="0" collapsed="false">
      <c r="C18" s="0" t="n">
        <f aca="false">$C17+0.2</f>
        <v>3.2</v>
      </c>
      <c r="D18" s="0" t="n">
        <f aca="false">_xlfn.CHISQ.DIST($C18,$B$1,0)</f>
        <v>0.144083378688615</v>
      </c>
    </row>
    <row r="19" customFormat="false" ht="14.25" hidden="false" customHeight="false" outlineLevel="0" collapsed="false">
      <c r="C19" s="0" t="n">
        <f aca="false">$C18+0.2</f>
        <v>3.4</v>
      </c>
      <c r="D19" s="0" t="n">
        <f aca="false">_xlfn.CHISQ.DIST($C19,$B$1,0)</f>
        <v>0.134384415006015</v>
      </c>
    </row>
    <row r="20" customFormat="false" ht="14.25" hidden="false" customHeight="false" outlineLevel="0" collapsed="false">
      <c r="C20" s="0" t="n">
        <f aca="false">$C19+0.2</f>
        <v>3.6</v>
      </c>
      <c r="D20" s="0" t="n">
        <f aca="false">_xlfn.CHISQ.DIST($C20,$B$1,0)</f>
        <v>0.125121300217698</v>
      </c>
    </row>
    <row r="21" customFormat="false" ht="14.25" hidden="false" customHeight="false" outlineLevel="0" collapsed="false">
      <c r="C21" s="0" t="n">
        <f aca="false">$C20+0.2</f>
        <v>3.8</v>
      </c>
      <c r="D21" s="0" t="n">
        <f aca="false">_xlfn.CHISQ.DIST($C21,$B$1,0)</f>
        <v>0.116316773951229</v>
      </c>
    </row>
    <row r="22" customFormat="false" ht="14.25" hidden="false" customHeight="false" outlineLevel="0" collapsed="false">
      <c r="C22" s="0" t="n">
        <f aca="false">$C21+0.2</f>
        <v>4</v>
      </c>
      <c r="D22" s="0" t="n">
        <f aca="false">_xlfn.CHISQ.DIST($C22,$B$1,0)</f>
        <v>0.107981933026376</v>
      </c>
    </row>
    <row r="23" customFormat="false" ht="14.25" hidden="false" customHeight="false" outlineLevel="0" collapsed="false">
      <c r="C23" s="0" t="n">
        <f aca="false">$C22+0.2</f>
        <v>4.2</v>
      </c>
      <c r="D23" s="0" t="n">
        <f aca="false">_xlfn.CHISQ.DIST($C23,$B$1,0)</f>
        <v>0.100118952936353</v>
      </c>
    </row>
    <row r="24" customFormat="false" ht="14.25" hidden="false" customHeight="false" outlineLevel="0" collapsed="false">
      <c r="C24" s="0" t="n">
        <f aca="false">$C23+0.2</f>
        <v>4.4</v>
      </c>
      <c r="D24" s="0" t="n">
        <f aca="false">_xlfn.CHISQ.DIST($C24,$B$1,0)</f>
        <v>0.0927232283077328</v>
      </c>
    </row>
    <row r="25" customFormat="false" ht="14.25" hidden="false" customHeight="false" outlineLevel="0" collapsed="false">
      <c r="C25" s="0" t="n">
        <f aca="false">$C24+0.2</f>
        <v>4.6</v>
      </c>
      <c r="D25" s="0" t="n">
        <f aca="false">_xlfn.CHISQ.DIST($C25,$B$1,0)</f>
        <v>0.0857850627508582</v>
      </c>
    </row>
    <row r="26" customFormat="false" ht="14.25" hidden="false" customHeight="false" outlineLevel="0" collapsed="false">
      <c r="C26" s="0" t="n">
        <f aca="false">$C25+0.2</f>
        <v>4.8</v>
      </c>
      <c r="D26" s="0" t="n">
        <f aca="false">_xlfn.CHISQ.DIST($C26,$B$1,0)</f>
        <v>0.0792910059942985</v>
      </c>
    </row>
    <row r="27" customFormat="false" ht="14.25" hidden="false" customHeight="false" outlineLevel="0" collapsed="false">
      <c r="C27" s="0" t="n">
        <f aca="false">$C26+0.2</f>
        <v>5</v>
      </c>
      <c r="D27" s="0" t="n">
        <f aca="false">_xlfn.CHISQ.DIST($C27,$B$1,0)</f>
        <v>0.0732249128096324</v>
      </c>
    </row>
    <row r="28" customFormat="false" ht="14.25" hidden="false" customHeight="false" outlineLevel="0" collapsed="false">
      <c r="C28" s="0" t="n">
        <f aca="false">$C27+0.2</f>
        <v>5.2</v>
      </c>
      <c r="D28" s="0" t="n">
        <f aca="false">_xlfn.CHISQ.DIST($C28,$B$1,0)</f>
        <v>0.0675687811162416</v>
      </c>
    </row>
    <row r="29" customFormat="false" ht="14.25" hidden="false" customHeight="false" outlineLevel="0" collapsed="false">
      <c r="C29" s="0" t="n">
        <f aca="false">$C28+0.2</f>
        <v>5.4</v>
      </c>
      <c r="D29" s="0" t="n">
        <f aca="false">_xlfn.CHISQ.DIST($C29,$B$1,0)</f>
        <v>0.0623034139322547</v>
      </c>
    </row>
    <row r="30" customFormat="false" ht="14.25" hidden="false" customHeight="false" outlineLevel="0" collapsed="false">
      <c r="C30" s="0" t="n">
        <f aca="false">$C29+0.2</f>
        <v>5.6</v>
      </c>
      <c r="D30" s="0" t="n">
        <f aca="false">_xlfn.CHISQ.DIST($C30,$B$1,0)</f>
        <v>0.0574089402480761</v>
      </c>
    </row>
    <row r="31" customFormat="false" ht="14.25" hidden="false" customHeight="false" outlineLevel="0" collapsed="false">
      <c r="C31" s="0" t="n">
        <f aca="false">$C30+0.2</f>
        <v>5.8</v>
      </c>
      <c r="D31" s="0" t="n">
        <f aca="false">_xlfn.CHISQ.DIST($C31,$B$1,0)</f>
        <v>0.0528652225816342</v>
      </c>
    </row>
    <row r="32" customFormat="false" ht="14.25" hidden="false" customHeight="false" outlineLevel="0" collapsed="false">
      <c r="C32" s="0" t="n">
        <f aca="false">$C31+0.2</f>
        <v>6</v>
      </c>
      <c r="D32" s="0" t="n">
        <f aca="false">_xlfn.CHISQ.DIST($C32,$B$1,0)</f>
        <v>0.0486521733296414</v>
      </c>
    </row>
    <row r="33" customFormat="false" ht="14.25" hidden="false" customHeight="false" outlineLevel="0" collapsed="false">
      <c r="C33" s="0" t="n">
        <f aca="false">$C32+0.2</f>
        <v>6.2</v>
      </c>
      <c r="D33" s="0" t="n">
        <f aca="false">_xlfn.CHISQ.DIST($C33,$B$1,0)</f>
        <v>0.044749997631925</v>
      </c>
    </row>
    <row r="34" customFormat="false" ht="14.25" hidden="false" customHeight="false" outlineLevel="0" collapsed="false">
      <c r="C34" s="0" t="n">
        <f aca="false">$C33+0.2</f>
        <v>6.4</v>
      </c>
      <c r="D34" s="0" t="n">
        <f aca="false">_xlfn.CHISQ.DIST($C34,$B$1,0)</f>
        <v>0.0411393770108141</v>
      </c>
    </row>
    <row r="35" customFormat="false" ht="14.25" hidden="false" customHeight="false" outlineLevel="0" collapsed="false">
      <c r="C35" s="0" t="n">
        <f aca="false">$C34+0.2</f>
        <v>6.6</v>
      </c>
      <c r="D35" s="0" t="n">
        <f aca="false">_xlfn.CHISQ.DIST($C35,$B$1,0)</f>
        <v>0.0378016053119413</v>
      </c>
    </row>
    <row r="36" customFormat="false" ht="14.25" hidden="false" customHeight="false" outlineLevel="0" collapsed="false">
      <c r="C36" s="0" t="n">
        <f aca="false">$C35+0.2</f>
        <v>6.8</v>
      </c>
      <c r="D36" s="0" t="n">
        <f aca="false">_xlfn.CHISQ.DIST($C36,$B$1,0)</f>
        <v>0.0347186862921448</v>
      </c>
    </row>
    <row r="37" customFormat="false" ht="14.25" hidden="false" customHeight="false" outlineLevel="0" collapsed="false">
      <c r="C37" s="0" t="n">
        <f aca="false">$C36+0.2</f>
        <v>7</v>
      </c>
      <c r="D37" s="0" t="n">
        <f aca="false">_xlfn.CHISQ.DIST($C37,$B$1,0)</f>
        <v>0.0318734004514812</v>
      </c>
    </row>
    <row r="38" customFormat="false" ht="14.25" hidden="false" customHeight="false" outlineLevel="0" collapsed="false">
      <c r="C38" s="0" t="n">
        <f aca="false">$C37+0.2</f>
        <v>7.2</v>
      </c>
      <c r="D38" s="0" t="n">
        <f aca="false">_xlfn.CHISQ.DIST($C38,$B$1,0)</f>
        <v>0.0292493472967676</v>
      </c>
    </row>
    <row r="39" customFormat="false" ht="14.25" hidden="false" customHeight="false" outlineLevel="0" collapsed="false">
      <c r="C39" s="0" t="n">
        <f aca="false">$C38+0.2</f>
        <v>7.4</v>
      </c>
      <c r="D39" s="0" t="n">
        <f aca="false">_xlfn.CHISQ.DIST($C39,$B$1,0)</f>
        <v>0.0268309680826339</v>
      </c>
    </row>
    <row r="40" customFormat="false" ht="14.25" hidden="false" customHeight="false" outlineLevel="0" collapsed="false">
      <c r="C40" s="0" t="n">
        <f aca="false">$C39+0.2</f>
        <v>7.6</v>
      </c>
      <c r="D40" s="0" t="n">
        <f aca="false">_xlfn.CHISQ.DIST($C40,$B$1,0)</f>
        <v>0.0246035531481163</v>
      </c>
    </row>
    <row r="41" customFormat="false" ht="14.25" hidden="false" customHeight="false" outlineLevel="0" collapsed="false">
      <c r="C41" s="0" t="n">
        <f aca="false">$C40+0.2</f>
        <v>7.8</v>
      </c>
      <c r="D41" s="0" t="n">
        <f aca="false">_xlfn.CHISQ.DIST($C41,$B$1,0)</f>
        <v>0.022553237209896</v>
      </c>
    </row>
    <row r="42" customFormat="false" ht="14.25" hidden="false" customHeight="false" outlineLevel="0" collapsed="false">
      <c r="C42" s="0" t="n">
        <f aca="false">$C41+0.2</f>
        <v>8</v>
      </c>
      <c r="D42" s="0" t="n">
        <f aca="false">_xlfn.CHISQ.DIST($C42,$B$1,0)</f>
        <v>0.020666985354092</v>
      </c>
    </row>
    <row r="43" customFormat="false" ht="14.25" hidden="false" customHeight="false" outlineLevel="0" collapsed="false">
      <c r="C43" s="0" t="n">
        <f aca="false">$C42+0.2</f>
        <v>8.2</v>
      </c>
      <c r="D43" s="0" t="n">
        <f aca="false">_xlfn.CHISQ.DIST($C43,$B$1,0)</f>
        <v>0.0189325719608034</v>
      </c>
    </row>
    <row r="44" customFormat="false" ht="14.25" hidden="false" customHeight="false" outlineLevel="0" collapsed="false">
      <c r="C44" s="0" t="n">
        <f aca="false">$C43+0.2</f>
        <v>8.4</v>
      </c>
      <c r="D44" s="0" t="n">
        <f aca="false">_xlfn.CHISQ.DIST($C44,$B$1,0)</f>
        <v>0.0173385543785073</v>
      </c>
    </row>
    <row r="45" customFormat="false" ht="14.25" hidden="false" customHeight="false" outlineLevel="0" collapsed="false">
      <c r="C45" s="0" t="n">
        <f aca="false">$C44+0.2</f>
        <v>8.6</v>
      </c>
      <c r="D45" s="0" t="n">
        <f aca="false">_xlfn.CHISQ.DIST($C45,$B$1,0)</f>
        <v>0.0158742428222843</v>
      </c>
    </row>
    <row r="46" customFormat="false" ht="14.25" hidden="false" customHeight="false" outlineLevel="0" collapsed="false">
      <c r="C46" s="0" t="n">
        <f aca="false">$C45+0.2</f>
        <v>8.8</v>
      </c>
      <c r="D46" s="0" t="n">
        <f aca="false">_xlfn.CHISQ.DIST($C46,$B$1,0)</f>
        <v>0.0145296676872599</v>
      </c>
    </row>
    <row r="47" customFormat="false" ht="14.25" hidden="false" customHeight="false" outlineLevel="0" collapsed="false">
      <c r="C47" s="0" t="n">
        <f aca="false">$C46+0.2</f>
        <v>9</v>
      </c>
      <c r="D47" s="0" t="n">
        <f aca="false">_xlfn.CHISQ.DIST($C47,$B$1,0)</f>
        <v>0.013295545235814</v>
      </c>
    </row>
    <row r="48" customFormat="false" ht="14.25" hidden="false" customHeight="false" outlineLevel="0" collapsed="false">
      <c r="C48" s="0" t="n">
        <f aca="false">$C47+0.2</f>
        <v>9.2</v>
      </c>
      <c r="D48" s="0" t="n">
        <f aca="false">_xlfn.CHISQ.DIST($C48,$B$1,0)</f>
        <v>0.0121632424252203</v>
      </c>
    </row>
    <row r="49" customFormat="false" ht="14.25" hidden="false" customHeight="false" outlineLevel="0" collapsed="false">
      <c r="C49" s="0" t="n">
        <f aca="false">$C48+0.2</f>
        <v>9.4</v>
      </c>
      <c r="D49" s="0" t="n">
        <f aca="false">_xlfn.CHISQ.DIST($C49,$B$1,0)</f>
        <v>0.0111247414842936</v>
      </c>
    </row>
    <row r="50" customFormat="false" ht="14.25" hidden="false" customHeight="false" outlineLevel="0" collapsed="false">
      <c r="C50" s="0" t="n">
        <f aca="false">$C49+0.2</f>
        <v>9.6</v>
      </c>
      <c r="D50" s="0" t="n">
        <f aca="false">_xlfn.CHISQ.DIST($C50,$B$1,0)</f>
        <v>0.0101726047174813</v>
      </c>
    </row>
    <row r="51" customFormat="false" ht="14.25" hidden="false" customHeight="false" outlineLevel="0" collapsed="false">
      <c r="C51" s="0" t="n">
        <f aca="false">$C50+0.2</f>
        <v>9.8</v>
      </c>
      <c r="D51" s="0" t="n">
        <f aca="false">_xlfn.CHISQ.DIST($C51,$B$1,0)</f>
        <v>0.00929993990783977</v>
      </c>
    </row>
    <row r="52" customFormat="false" ht="14.25" hidden="false" customHeight="false" outlineLevel="0" collapsed="false">
      <c r="C52" s="0" t="n">
        <f aca="false">$C51+0.2</f>
        <v>10</v>
      </c>
      <c r="D52" s="0" t="n">
        <f aca="false">_xlfn.CHISQ.DIST($C52,$B$1,0)</f>
        <v>0.00850036660252036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O45" activeCellId="0" sqref="O45"/>
    </sheetView>
  </sheetViews>
  <sheetFormatPr defaultColWidth="8.7578125" defaultRowHeight="14.25" zeroHeight="false" outlineLevelRow="0" outlineLevelCol="0"/>
  <cols>
    <col collapsed="false" customWidth="true" hidden="false" outlineLevel="0" max="3" min="3" style="0" width="13.36"/>
    <col collapsed="false" customWidth="true" hidden="false" outlineLevel="0" max="4" min="4" style="0" width="12.91"/>
  </cols>
  <sheetData>
    <row r="1" customFormat="false" ht="14.25" hidden="false" customHeight="false" outlineLevel="0" collapsed="false">
      <c r="A1" s="0" t="s">
        <v>4</v>
      </c>
      <c r="B1" s="0" t="n">
        <v>5</v>
      </c>
      <c r="C1" s="0" t="s">
        <v>7</v>
      </c>
      <c r="D1" s="0" t="s">
        <v>8</v>
      </c>
    </row>
    <row r="2" customFormat="false" ht="14.25" hidden="false" customHeight="false" outlineLevel="0" collapsed="false">
      <c r="C2" s="0" t="n">
        <v>0</v>
      </c>
      <c r="D2" s="0" t="n">
        <f aca="false">_xlfn.T.DIST($C2,$B$1,0)</f>
        <v>0.379606689822495</v>
      </c>
    </row>
    <row r="3" customFormat="false" ht="14.25" hidden="false" customHeight="false" outlineLevel="0" collapsed="false">
      <c r="C3" s="0" t="n">
        <f aca="false">$C2+0.2</f>
        <v>0.2</v>
      </c>
      <c r="D3" s="0" t="n">
        <f aca="false">_xlfn.T.DIST($C3,$B$1,0)</f>
        <v>0.370639977713969</v>
      </c>
    </row>
    <row r="4" customFormat="false" ht="14.25" hidden="false" customHeight="false" outlineLevel="0" collapsed="false">
      <c r="C4" s="0" t="n">
        <f aca="false">$C3+0.2</f>
        <v>0.4</v>
      </c>
      <c r="D4" s="0" t="n">
        <f aca="false">_xlfn.T.DIST($C4,$B$1,0)</f>
        <v>0.345378075752733</v>
      </c>
    </row>
    <row r="5" customFormat="false" ht="14.25" hidden="false" customHeight="false" outlineLevel="0" collapsed="false">
      <c r="C5" s="0" t="n">
        <f aca="false">$C4+0.2</f>
        <v>0.6</v>
      </c>
      <c r="D5" s="0" t="n">
        <f aca="false">_xlfn.T.DIST($C5,$B$1,0)</f>
        <v>0.30814100972342</v>
      </c>
    </row>
    <row r="6" customFormat="false" ht="14.25" hidden="false" customHeight="false" outlineLevel="0" collapsed="false">
      <c r="C6" s="0" t="n">
        <f aca="false">$C5+0.2</f>
        <v>0.8</v>
      </c>
      <c r="D6" s="0" t="n">
        <f aca="false">_xlfn.T.DIST($C6,$B$1,0)</f>
        <v>0.264488356807957</v>
      </c>
    </row>
    <row r="7" customFormat="false" ht="14.25" hidden="false" customHeight="false" outlineLevel="0" collapsed="false">
      <c r="C7" s="0" t="n">
        <f aca="false">$C6+0.2</f>
        <v>1</v>
      </c>
      <c r="D7" s="0" t="n">
        <f aca="false">_xlfn.T.DIST($C7,$B$1,0)</f>
        <v>0.219679797350981</v>
      </c>
    </row>
    <row r="8" customFormat="false" ht="14.25" hidden="false" customHeight="false" outlineLevel="0" collapsed="false">
      <c r="C8" s="0" t="n">
        <f aca="false">$C7+0.2</f>
        <v>1.2</v>
      </c>
      <c r="D8" s="0" t="n">
        <f aca="false">_xlfn.T.DIST($C8,$B$1,0)</f>
        <v>0.177658613464935</v>
      </c>
    </row>
    <row r="9" customFormat="false" ht="14.25" hidden="false" customHeight="false" outlineLevel="0" collapsed="false">
      <c r="C9" s="0" t="n">
        <f aca="false">$C8+0.2</f>
        <v>1.4</v>
      </c>
      <c r="D9" s="0" t="n">
        <f aca="false">_xlfn.T.DIST($C9,$B$1,0)</f>
        <v>0.140739547894915</v>
      </c>
    </row>
    <row r="10" customFormat="false" ht="14.25" hidden="false" customHeight="false" outlineLevel="0" collapsed="false">
      <c r="C10" s="0" t="n">
        <f aca="false">$C9+0.2</f>
        <v>1.6</v>
      </c>
      <c r="D10" s="0" t="n">
        <f aca="false">_xlfn.T.DIST($C10,$B$1,0)</f>
        <v>0.109819252655991</v>
      </c>
    </row>
    <row r="11" customFormat="false" ht="14.25" hidden="false" customHeight="false" outlineLevel="0" collapsed="false">
      <c r="C11" s="0" t="n">
        <f aca="false">$C10+0.2</f>
        <v>1.8</v>
      </c>
      <c r="D11" s="0" t="n">
        <f aca="false">_xlfn.T.DIST($C11,$B$1,0)</f>
        <v>0.0848129628969038</v>
      </c>
    </row>
    <row r="12" customFormat="false" ht="14.25" hidden="false" customHeight="false" outlineLevel="0" collapsed="false">
      <c r="C12" s="0" t="n">
        <f aca="false">$C11+0.2</f>
        <v>2</v>
      </c>
      <c r="D12" s="0" t="n">
        <f aca="false">_xlfn.T.DIST($C12,$B$1,0)</f>
        <v>0.0650903103262165</v>
      </c>
    </row>
    <row r="13" customFormat="false" ht="14.25" hidden="false" customHeight="false" outlineLevel="0" collapsed="false">
      <c r="C13" s="0" t="n">
        <f aca="false">$C12+0.2</f>
        <v>2.2</v>
      </c>
      <c r="D13" s="0" t="n">
        <f aca="false">_xlfn.T.DIST($C13,$B$1,0)</f>
        <v>0.0498033521511451</v>
      </c>
    </row>
    <row r="14" customFormat="false" ht="14.25" hidden="false" customHeight="false" outlineLevel="0" collapsed="false">
      <c r="C14" s="0" t="n">
        <f aca="false">$C13+0.2</f>
        <v>2.4</v>
      </c>
      <c r="D14" s="0" t="n">
        <f aca="false">_xlfn.T.DIST($C14,$B$1,0)</f>
        <v>0.0380896565264319</v>
      </c>
    </row>
    <row r="15" customFormat="false" ht="14.25" hidden="false" customHeight="false" outlineLevel="0" collapsed="false">
      <c r="C15" s="0" t="n">
        <f aca="false">$C14+0.2</f>
        <v>2.6</v>
      </c>
      <c r="D15" s="0" t="n">
        <f aca="false">_xlfn.T.DIST($C15,$B$1,0)</f>
        <v>0.0291757416859393</v>
      </c>
    </row>
    <row r="16" customFormat="false" ht="14.25" hidden="false" customHeight="false" outlineLevel="0" collapsed="false">
      <c r="C16" s="0" t="n">
        <f aca="false">$C15+0.2</f>
        <v>2.8</v>
      </c>
      <c r="D16" s="0" t="n">
        <f aca="false">_xlfn.T.DIST($C16,$B$1,0)</f>
        <v>0.0224155190216772</v>
      </c>
    </row>
    <row r="17" customFormat="false" ht="14.25" hidden="false" customHeight="false" outlineLevel="0" collapsed="false">
      <c r="C17" s="0" t="n">
        <f aca="false">$C16+0.2</f>
        <v>3</v>
      </c>
      <c r="D17" s="0" t="n">
        <f aca="false">_xlfn.T.DIST($C17,$B$1,0)</f>
        <v>0.0172925788002229</v>
      </c>
    </row>
    <row r="18" customFormat="false" ht="14.25" hidden="false" customHeight="false" outlineLevel="0" collapsed="false">
      <c r="C18" s="0" t="n">
        <f aca="false">$C17+0.2</f>
        <v>3.2</v>
      </c>
      <c r="D18" s="0" t="n">
        <f aca="false">_xlfn.T.DIST($C18,$B$1,0)</f>
        <v>0.0134056837363289</v>
      </c>
    </row>
    <row r="19" customFormat="false" ht="14.25" hidden="false" customHeight="false" outlineLevel="0" collapsed="false">
      <c r="C19" s="0" t="n">
        <f aca="false">$C18+0.2</f>
        <v>3.4</v>
      </c>
      <c r="D19" s="0" t="n">
        <f aca="false">_xlfn.T.DIST($C19,$B$1,0)</f>
        <v>0.0104487147493952</v>
      </c>
    </row>
    <row r="20" customFormat="false" ht="14.25" hidden="false" customHeight="false" outlineLevel="0" collapsed="false">
      <c r="C20" s="0" t="n">
        <f aca="false">$C19+0.2</f>
        <v>3.6</v>
      </c>
      <c r="D20" s="0" t="n">
        <f aca="false">_xlfn.T.DIST($C20,$B$1,0)</f>
        <v>0.00819077268712905</v>
      </c>
    </row>
    <row r="21" customFormat="false" ht="14.25" hidden="false" customHeight="false" outlineLevel="0" collapsed="false">
      <c r="C21" s="0" t="n">
        <f aca="false">$C20+0.2</f>
        <v>3.8</v>
      </c>
      <c r="D21" s="0" t="n">
        <f aca="false">_xlfn.T.DIST($C21,$B$1,0)</f>
        <v>0.00645884836436983</v>
      </c>
    </row>
    <row r="22" customFormat="false" ht="14.25" hidden="false" customHeight="false" outlineLevel="0" collapsed="false">
      <c r="C22" s="0" t="n">
        <f aca="false">$C21+0.2</f>
        <v>4</v>
      </c>
      <c r="D22" s="0" t="n">
        <f aca="false">_xlfn.T.DIST($C22,$B$1,0)</f>
        <v>0.00512372705191791</v>
      </c>
    </row>
    <row r="23" customFormat="false" ht="14.25" hidden="false" customHeight="false" outlineLevel="0" collapsed="false">
      <c r="C23" s="0" t="n">
        <f aca="false">$C22+0.2</f>
        <v>4.2</v>
      </c>
      <c r="D23" s="0" t="n">
        <f aca="false">_xlfn.T.DIST($C23,$B$1,0)</f>
        <v>0.00408897638953717</v>
      </c>
    </row>
    <row r="24" customFormat="false" ht="14.25" hidden="false" customHeight="false" outlineLevel="0" collapsed="false">
      <c r="C24" s="0" t="n">
        <f aca="false">$C23+0.2</f>
        <v>4.4</v>
      </c>
      <c r="D24" s="0" t="n">
        <f aca="false">_xlfn.T.DIST($C24,$B$1,0)</f>
        <v>0.00328255505294261</v>
      </c>
    </row>
    <row r="25" customFormat="false" ht="14.25" hidden="false" customHeight="false" outlineLevel="0" collapsed="false">
      <c r="C25" s="0" t="n">
        <f aca="false">$C24+0.2</f>
        <v>4.6</v>
      </c>
      <c r="D25" s="0" t="n">
        <f aca="false">_xlfn.T.DIST($C25,$B$1,0)</f>
        <v>0.00265051735027483</v>
      </c>
    </row>
    <row r="26" customFormat="false" ht="14.25" hidden="false" customHeight="false" outlineLevel="0" collapsed="false">
      <c r="C26" s="0" t="n">
        <f aca="false">$C25+0.2</f>
        <v>4.8</v>
      </c>
      <c r="D26" s="0" t="n">
        <f aca="false">_xlfn.T.DIST($C26,$B$1,0)</f>
        <v>0.00215233487387578</v>
      </c>
    </row>
    <row r="27" customFormat="false" ht="14.25" hidden="false" customHeight="false" outlineLevel="0" collapsed="false">
      <c r="C27" s="0" t="n">
        <f aca="false">$C26+0.2</f>
        <v>5</v>
      </c>
      <c r="D27" s="0" t="n">
        <f aca="false">_xlfn.T.DIST($C27,$B$1,0)</f>
        <v>0.00175743837880784</v>
      </c>
    </row>
    <row r="28" customFormat="false" ht="14.25" hidden="false" customHeight="false" outlineLevel="0" collapsed="false">
      <c r="C28" s="0" t="n">
        <f aca="false">$C27+0.2</f>
        <v>5.2</v>
      </c>
      <c r="D28" s="0" t="n">
        <f aca="false">_xlfn.T.DIST($C28,$B$1,0)</f>
        <v>0.0014426678319857</v>
      </c>
    </row>
    <row r="29" customFormat="false" ht="14.25" hidden="false" customHeight="false" outlineLevel="0" collapsed="false">
      <c r="C29" s="0" t="n">
        <f aca="false">$C28+0.2</f>
        <v>5.4</v>
      </c>
      <c r="D29" s="0" t="n">
        <f aca="false">_xlfn.T.DIST($C29,$B$1,0)</f>
        <v>0.00119039278068862</v>
      </c>
    </row>
    <row r="30" customFormat="false" ht="14.25" hidden="false" customHeight="false" outlineLevel="0" collapsed="false">
      <c r="C30" s="0" t="n">
        <f aca="false">$C29+0.2</f>
        <v>5.6</v>
      </c>
      <c r="D30" s="0" t="n">
        <f aca="false">_xlfn.T.DIST($C30,$B$1,0)</f>
        <v>0.000987125217627791</v>
      </c>
    </row>
    <row r="31" customFormat="false" ht="14.25" hidden="false" customHeight="false" outlineLevel="0" collapsed="false">
      <c r="C31" s="0" t="n">
        <f aca="false">$C30+0.2</f>
        <v>5.8</v>
      </c>
      <c r="D31" s="0" t="n">
        <f aca="false">_xlfn.T.DIST($C31,$B$1,0)</f>
        <v>0.000822493580856181</v>
      </c>
    </row>
    <row r="32" customFormat="false" ht="14.25" hidden="false" customHeight="false" outlineLevel="0" collapsed="false">
      <c r="C32" s="0" t="n">
        <f aca="false">$C31+0.2</f>
        <v>6</v>
      </c>
      <c r="D32" s="0" t="n">
        <f aca="false">_xlfn.T.DIST($C32,$B$1,0)</f>
        <v>0.000688481540137428</v>
      </c>
    </row>
    <row r="33" customFormat="false" ht="14.25" hidden="false" customHeight="false" outlineLevel="0" collapsed="false">
      <c r="C33" s="0" t="n">
        <f aca="false">$C32+0.2</f>
        <v>6.2</v>
      </c>
      <c r="D33" s="0" t="n">
        <f aca="false">_xlfn.T.DIST($C33,$B$1,0)</f>
        <v>0.000578861173465935</v>
      </c>
    </row>
    <row r="34" customFormat="false" ht="14.25" hidden="false" customHeight="false" outlineLevel="0" collapsed="false">
      <c r="C34" s="0" t="n">
        <f aca="false">$C33+0.2</f>
        <v>6.4</v>
      </c>
      <c r="D34" s="0" t="n">
        <f aca="false">_xlfn.T.DIST($C34,$B$1,0)</f>
        <v>0.000488769176956846</v>
      </c>
    </row>
    <row r="35" customFormat="false" ht="14.25" hidden="false" customHeight="false" outlineLevel="0" collapsed="false">
      <c r="C35" s="0" t="n">
        <f aca="false">$C34+0.2</f>
        <v>6.6</v>
      </c>
      <c r="D35" s="0" t="n">
        <f aca="false">_xlfn.T.DIST($C35,$B$1,0)</f>
        <v>0.000414388635241164</v>
      </c>
    </row>
    <row r="36" customFormat="false" ht="14.25" hidden="false" customHeight="false" outlineLevel="0" collapsed="false">
      <c r="C36" s="0" t="n">
        <f aca="false">$C35+0.2</f>
        <v>6.8</v>
      </c>
      <c r="D36" s="0" t="n">
        <f aca="false">_xlfn.T.DIST($C36,$B$1,0)</f>
        <v>0.000352708972055887</v>
      </c>
    </row>
    <row r="37" customFormat="false" ht="14.25" hidden="false" customHeight="false" outlineLevel="0" collapsed="false">
      <c r="C37" s="0" t="n">
        <f aca="false">$C36+0.2</f>
        <v>7</v>
      </c>
      <c r="D37" s="0" t="n">
        <f aca="false">_xlfn.T.DIST($C37,$B$1,0)</f>
        <v>0.000301344029288038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Q43" activeCellId="0" sqref="Q43"/>
    </sheetView>
  </sheetViews>
  <sheetFormatPr defaultColWidth="8.7578125" defaultRowHeight="14.25" zeroHeight="false" outlineLevelRow="0" outlineLevelCol="0"/>
  <cols>
    <col collapsed="false" customWidth="true" hidden="false" outlineLevel="0" max="3" min="3" style="0" width="11.73"/>
    <col collapsed="false" customWidth="true" hidden="false" outlineLevel="0" max="4" min="4" style="0" width="11.18"/>
  </cols>
  <sheetData>
    <row r="1" customFormat="false" ht="14.25" hidden="false" customHeight="false" outlineLevel="0" collapsed="false">
      <c r="A1" s="0" t="s">
        <v>0</v>
      </c>
      <c r="B1" s="0" t="n">
        <v>5</v>
      </c>
      <c r="C1" s="0" t="s">
        <v>9</v>
      </c>
      <c r="D1" s="0" t="s">
        <v>10</v>
      </c>
    </row>
    <row r="2" customFormat="false" ht="14.25" hidden="false" customHeight="false" outlineLevel="0" collapsed="false">
      <c r="A2" s="0" t="s">
        <v>11</v>
      </c>
      <c r="B2" s="0" t="n">
        <v>4</v>
      </c>
      <c r="C2" s="0" t="n">
        <v>0</v>
      </c>
      <c r="D2" s="0" t="n">
        <f aca="false">_xlfn.F.DIST($C2,$B$1,$B$2,0)</f>
        <v>0</v>
      </c>
    </row>
    <row r="3" customFormat="false" ht="14.25" hidden="false" customHeight="false" outlineLevel="0" collapsed="false">
      <c r="C3" s="0" t="n">
        <f aca="false">$C2+0.2</f>
        <v>0.2</v>
      </c>
      <c r="D3" s="0" t="n">
        <f aca="false">_xlfn.F.DIST($C3,$B$1,$B$2,0)</f>
        <v>0.500879226959953</v>
      </c>
    </row>
    <row r="4" customFormat="false" ht="14.25" hidden="false" customHeight="false" outlineLevel="0" collapsed="false">
      <c r="C4" s="0" t="n">
        <f aca="false">$C3+0.2</f>
        <v>0.4</v>
      </c>
      <c r="D4" s="0" t="n">
        <f aca="false">_xlfn.F.DIST($C4,$B$1,$B$2,0)</f>
        <v>0.623680846346818</v>
      </c>
    </row>
    <row r="5" customFormat="false" ht="14.25" hidden="false" customHeight="false" outlineLevel="0" collapsed="false">
      <c r="C5" s="0" t="n">
        <f aca="false">$C4+0.2</f>
        <v>0.6</v>
      </c>
      <c r="D5" s="0" t="n">
        <f aca="false">_xlfn.F.DIST($C5,$B$1,$B$2,0)</f>
        <v>0.572583385458872</v>
      </c>
    </row>
    <row r="6" customFormat="false" ht="14.25" hidden="false" customHeight="false" outlineLevel="0" collapsed="false">
      <c r="C6" s="0" t="n">
        <f aca="false">$C5+0.2</f>
        <v>0.8</v>
      </c>
      <c r="D6" s="0" t="n">
        <f aca="false">_xlfn.F.DIST($C6,$B$1,$B$2,0)</f>
        <v>0.483373776201742</v>
      </c>
    </row>
    <row r="7" customFormat="false" ht="14.25" hidden="false" customHeight="false" outlineLevel="0" collapsed="false">
      <c r="C7" s="0" t="n">
        <f aca="false">$C6+0.2</f>
        <v>1</v>
      </c>
      <c r="D7" s="0" t="n">
        <f aca="false">_xlfn.F.DIST($C7,$B$1,$B$2,0)</f>
        <v>0.39761407921807</v>
      </c>
    </row>
    <row r="8" customFormat="false" ht="14.25" hidden="false" customHeight="false" outlineLevel="0" collapsed="false">
      <c r="C8" s="0" t="n">
        <f aca="false">$C7+0.2</f>
        <v>1.2</v>
      </c>
      <c r="D8" s="0" t="n">
        <f aca="false">_xlfn.F.DIST($C8,$B$1,$B$2,0)</f>
        <v>0.325330601081423</v>
      </c>
    </row>
    <row r="9" customFormat="false" ht="14.25" hidden="false" customHeight="false" outlineLevel="0" collapsed="false">
      <c r="C9" s="0" t="n">
        <f aca="false">$C8+0.2</f>
        <v>1.4</v>
      </c>
      <c r="D9" s="0" t="n">
        <f aca="false">_xlfn.F.DIST($C9,$B$1,$B$2,0)</f>
        <v>0.266979562363608</v>
      </c>
    </row>
    <row r="10" customFormat="false" ht="14.25" hidden="false" customHeight="false" outlineLevel="0" collapsed="false">
      <c r="C10" s="0" t="n">
        <f aca="false">$C9+0.2</f>
        <v>1.6</v>
      </c>
      <c r="D10" s="0" t="n">
        <f aca="false">_xlfn.F.DIST($C10,$B$1,$B$2,0)</f>
        <v>0.220504477874</v>
      </c>
    </row>
    <row r="11" customFormat="false" ht="14.25" hidden="false" customHeight="false" outlineLevel="0" collapsed="false">
      <c r="C11" s="0" t="n">
        <f aca="false">$C10+0.2</f>
        <v>1.8</v>
      </c>
      <c r="D11" s="0" t="n">
        <f aca="false">_xlfn.F.DIST($C11,$B$1,$B$2,0)</f>
        <v>0.183534079840636</v>
      </c>
    </row>
    <row r="12" customFormat="false" ht="14.25" hidden="false" customHeight="false" outlineLevel="0" collapsed="false">
      <c r="C12" s="0" t="n">
        <f aca="false">$C11+0.2</f>
        <v>2</v>
      </c>
      <c r="D12" s="0" t="n">
        <f aca="false">_xlfn.F.DIST($C12,$B$1,$B$2,0)</f>
        <v>0.154000410847033</v>
      </c>
    </row>
    <row r="13" customFormat="false" ht="14.25" hidden="false" customHeight="false" outlineLevel="0" collapsed="false">
      <c r="C13" s="0" t="n">
        <f aca="false">$C12+0.2</f>
        <v>2.2</v>
      </c>
      <c r="D13" s="0" t="n">
        <f aca="false">_xlfn.F.DIST($C13,$B$1,$B$2,0)</f>
        <v>0.130249601126876</v>
      </c>
    </row>
    <row r="14" customFormat="false" ht="14.25" hidden="false" customHeight="false" outlineLevel="0" collapsed="false">
      <c r="C14" s="0" t="n">
        <f aca="false">$C13+0.2</f>
        <v>2.4</v>
      </c>
      <c r="D14" s="0" t="n">
        <f aca="false">_xlfn.F.DIST($C14,$B$1,$B$2,0)</f>
        <v>0.11100179125655</v>
      </c>
    </row>
    <row r="15" customFormat="false" ht="14.25" hidden="false" customHeight="false" outlineLevel="0" collapsed="false">
      <c r="C15" s="0" t="n">
        <f aca="false">$C14+0.2</f>
        <v>2.6</v>
      </c>
      <c r="D15" s="0" t="n">
        <f aca="false">_xlfn.F.DIST($C15,$B$1,$B$2,0)</f>
        <v>0.0952780636364074</v>
      </c>
    </row>
    <row r="16" customFormat="false" ht="14.25" hidden="false" customHeight="false" outlineLevel="0" collapsed="false">
      <c r="C16" s="0" t="n">
        <f aca="false">$C15+0.2</f>
        <v>2.8</v>
      </c>
      <c r="D16" s="0" t="n">
        <f aca="false">_xlfn.F.DIST($C16,$B$1,$B$2,0)</f>
        <v>0.0823310815438227</v>
      </c>
    </row>
    <row r="17" customFormat="false" ht="14.25" hidden="false" customHeight="false" outlineLevel="0" collapsed="false">
      <c r="C17" s="0" t="n">
        <f aca="false">$C16+0.2</f>
        <v>3</v>
      </c>
      <c r="D17" s="0" t="n">
        <f aca="false">_xlfn.F.DIST($C17,$B$1,$B$2,0)</f>
        <v>0.0715885760906202</v>
      </c>
    </row>
    <row r="18" customFormat="false" ht="14.25" hidden="false" customHeight="false" outlineLevel="0" collapsed="false">
      <c r="C18" s="0" t="n">
        <f aca="false">$C17+0.2</f>
        <v>3.2</v>
      </c>
      <c r="D18" s="0" t="n">
        <f aca="false">_xlfn.F.DIST($C18,$B$1,$B$2,0)</f>
        <v>0.0626099033699941</v>
      </c>
    </row>
    <row r="19" customFormat="false" ht="14.25" hidden="false" customHeight="false" outlineLevel="0" collapsed="false">
      <c r="C19" s="0" t="n">
        <f aca="false">$C18+0.2</f>
        <v>3.4</v>
      </c>
      <c r="D19" s="0" t="n">
        <f aca="false">_xlfn.F.DIST($C19,$B$1,$B$2,0)</f>
        <v>0.0550534570936236</v>
      </c>
    </row>
    <row r="20" customFormat="false" ht="14.25" hidden="false" customHeight="false" outlineLevel="0" collapsed="false">
      <c r="C20" s="0" t="n">
        <f aca="false">$C19+0.2</f>
        <v>3.6</v>
      </c>
      <c r="D20" s="0" t="n">
        <f aca="false">_xlfn.F.DIST($C20,$B$1,$B$2,0)</f>
        <v>0.0486524521251941</v>
      </c>
    </row>
    <row r="21" customFormat="false" ht="14.25" hidden="false" customHeight="false" outlineLevel="0" collapsed="false">
      <c r="C21" s="0" t="n">
        <f aca="false">$C20+0.2</f>
        <v>3.8</v>
      </c>
      <c r="D21" s="0" t="n">
        <f aca="false">_xlfn.F.DIST($C21,$B$1,$B$2,0)</f>
        <v>0.0431969595114616</v>
      </c>
    </row>
    <row r="22" customFormat="false" ht="14.25" hidden="false" customHeight="false" outlineLevel="0" collapsed="false">
      <c r="C22" s="0" t="n">
        <f aca="false">$C21+0.2</f>
        <v>4</v>
      </c>
      <c r="D22" s="0" t="n">
        <f aca="false">_xlfn.F.DIST($C22,$B$1,$B$2,0)</f>
        <v>0.038520547021044</v>
      </c>
    </row>
    <row r="23" customFormat="false" ht="14.25" hidden="false" customHeight="false" outlineLevel="0" collapsed="false">
      <c r="C23" s="0" t="n">
        <f aca="false">$C22+0.2</f>
        <v>4.2</v>
      </c>
      <c r="D23" s="0" t="n">
        <f aca="false">_xlfn.F.DIST($C23,$B$1,$B$2,0)</f>
        <v>0.0344902977105156</v>
      </c>
    </row>
    <row r="24" customFormat="false" ht="14.25" hidden="false" customHeight="false" outlineLevel="0" collapsed="false">
      <c r="C24" s="0" t="n">
        <f aca="false">$C23+0.2</f>
        <v>4.4</v>
      </c>
      <c r="D24" s="0" t="n">
        <f aca="false">_xlfn.F.DIST($C24,$B$1,$B$2,0)</f>
        <v>0.0309993077306469</v>
      </c>
    </row>
    <row r="25" customFormat="false" ht="14.25" hidden="false" customHeight="false" outlineLevel="0" collapsed="false">
      <c r="C25" s="0" t="n">
        <f aca="false">$C24+0.2</f>
        <v>4.6</v>
      </c>
      <c r="D25" s="0" t="n">
        <f aca="false">_xlfn.F.DIST($C25,$B$1,$B$2,0)</f>
        <v>0.0279610100322584</v>
      </c>
    </row>
    <row r="26" customFormat="false" ht="14.25" hidden="false" customHeight="false" outlineLevel="0" collapsed="false">
      <c r="C26" s="0" t="n">
        <f aca="false">$C25+0.2</f>
        <v>4.8</v>
      </c>
      <c r="D26" s="0" t="n">
        <f aca="false">_xlfn.F.DIST($C26,$B$1,$B$2,0)</f>
        <v>0.0253048496657949</v>
      </c>
    </row>
    <row r="27" customFormat="false" ht="14.25" hidden="false" customHeight="false" outlineLevel="0" collapsed="false">
      <c r="C27" s="0" t="n">
        <f aca="false">$C26+0.2</f>
        <v>5</v>
      </c>
      <c r="D27" s="0" t="n">
        <f aca="false">_xlfn.F.DIST($C27,$B$1,$B$2,0)</f>
        <v>0.0229729656112522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F11" activeCellId="0" sqref="F11"/>
    </sheetView>
  </sheetViews>
  <sheetFormatPr defaultColWidth="8.7578125" defaultRowHeight="14.25" zeroHeight="false" outlineLevelRow="0" outlineLevelCol="0"/>
  <cols>
    <col collapsed="false" customWidth="true" hidden="false" outlineLevel="0" max="2" min="2" style="0" width="10.82"/>
  </cols>
  <sheetData>
    <row r="1" customFormat="false" ht="14.25" hidden="false" customHeight="false" outlineLevel="0" collapsed="false">
      <c r="A1" s="0" t="n">
        <v>59</v>
      </c>
      <c r="B1" s="0" t="s">
        <v>12</v>
      </c>
      <c r="C1" s="0" t="n">
        <f aca="false">MAX(A1:A30)</f>
        <v>62</v>
      </c>
      <c r="D1" s="0" t="n">
        <f aca="false">$C$2</f>
        <v>44</v>
      </c>
      <c r="E1" s="0" t="n">
        <f aca="false" t="array" ref="E1:E11">FREQUENCY(A1:A30,D1:D10)</f>
        <v>1</v>
      </c>
      <c r="F1" s="0" t="n">
        <f aca="false">$E$1</f>
        <v>1</v>
      </c>
    </row>
    <row r="2" customFormat="false" ht="14.25" hidden="false" customHeight="false" outlineLevel="0" collapsed="false">
      <c r="A2" s="0" t="n">
        <v>57</v>
      </c>
      <c r="B2" s="0" t="s">
        <v>13</v>
      </c>
      <c r="C2" s="0" t="n">
        <f aca="false">MIN(A1:A30)</f>
        <v>44</v>
      </c>
      <c r="D2" s="0" t="n">
        <f aca="false">D1+2</f>
        <v>46</v>
      </c>
      <c r="E2" s="0" t="n">
        <v>1</v>
      </c>
      <c r="F2" s="0" t="n">
        <f aca="false">F1+E2</f>
        <v>2</v>
      </c>
    </row>
    <row r="3" customFormat="false" ht="14.25" hidden="false" customHeight="false" outlineLevel="0" collapsed="false">
      <c r="A3" s="0" t="n">
        <v>55</v>
      </c>
      <c r="D3" s="0" t="n">
        <f aca="false">D2+2</f>
        <v>48</v>
      </c>
      <c r="E3" s="0" t="n">
        <v>1</v>
      </c>
      <c r="F3" s="0" t="n">
        <f aca="false">F2+E3</f>
        <v>3</v>
      </c>
    </row>
    <row r="4" customFormat="false" ht="14.25" hidden="false" customHeight="false" outlineLevel="0" collapsed="false">
      <c r="A4" s="0" t="n">
        <v>49</v>
      </c>
      <c r="D4" s="0" t="n">
        <f aca="false">D3+2</f>
        <v>50</v>
      </c>
      <c r="E4" s="0" t="n">
        <v>4</v>
      </c>
      <c r="F4" s="0" t="n">
        <f aca="false">F3+E4</f>
        <v>7</v>
      </c>
    </row>
    <row r="5" customFormat="false" ht="14.25" hidden="false" customHeight="false" outlineLevel="0" collapsed="false">
      <c r="A5" s="0" t="n">
        <v>46</v>
      </c>
      <c r="D5" s="0" t="n">
        <f aca="false">D4+2</f>
        <v>52</v>
      </c>
      <c r="E5" s="0" t="n">
        <v>2</v>
      </c>
      <c r="F5" s="0" t="n">
        <f aca="false">F4+E5</f>
        <v>9</v>
      </c>
    </row>
    <row r="6" customFormat="false" ht="14.25" hidden="false" customHeight="false" outlineLevel="0" collapsed="false">
      <c r="A6" s="0" t="n">
        <v>51</v>
      </c>
      <c r="D6" s="0" t="n">
        <f aca="false">D5+2</f>
        <v>54</v>
      </c>
      <c r="E6" s="0" t="n">
        <v>2</v>
      </c>
      <c r="F6" s="0" t="n">
        <f aca="false">F5+E6</f>
        <v>11</v>
      </c>
    </row>
    <row r="7" customFormat="false" ht="14.25" hidden="false" customHeight="false" outlineLevel="0" collapsed="false">
      <c r="A7" s="0" t="n">
        <v>50</v>
      </c>
      <c r="D7" s="0" t="n">
        <f aca="false">D6+2</f>
        <v>56</v>
      </c>
      <c r="E7" s="0" t="n">
        <v>6</v>
      </c>
      <c r="F7" s="0" t="n">
        <f aca="false">F6+E7</f>
        <v>17</v>
      </c>
    </row>
    <row r="8" customFormat="false" ht="14.25" hidden="false" customHeight="false" outlineLevel="0" collapsed="false">
      <c r="A8" s="0" t="n">
        <v>58</v>
      </c>
      <c r="D8" s="0" t="n">
        <f aca="false">D7+2</f>
        <v>58</v>
      </c>
      <c r="E8" s="0" t="n">
        <v>5</v>
      </c>
      <c r="F8" s="0" t="n">
        <f aca="false">F7+E8</f>
        <v>22</v>
      </c>
    </row>
    <row r="9" customFormat="false" ht="14.25" hidden="false" customHeight="false" outlineLevel="0" collapsed="false">
      <c r="A9" s="0" t="n">
        <v>56</v>
      </c>
      <c r="D9" s="0" t="n">
        <f aca="false">D8+2</f>
        <v>60</v>
      </c>
      <c r="E9" s="0" t="n">
        <v>4</v>
      </c>
      <c r="F9" s="0" t="n">
        <f aca="false">F8+E9</f>
        <v>26</v>
      </c>
    </row>
    <row r="10" customFormat="false" ht="14.25" hidden="false" customHeight="false" outlineLevel="0" collapsed="false">
      <c r="A10" s="0" t="n">
        <v>48</v>
      </c>
      <c r="D10" s="0" t="n">
        <f aca="false">D9+2</f>
        <v>62</v>
      </c>
      <c r="E10" s="0" t="n">
        <v>4</v>
      </c>
      <c r="F10" s="0" t="n">
        <f aca="false">F9+E10</f>
        <v>30</v>
      </c>
    </row>
    <row r="11" customFormat="false" ht="14.25" hidden="false" customHeight="false" outlineLevel="0" collapsed="false">
      <c r="A11" s="0" t="n">
        <v>44</v>
      </c>
      <c r="E11" s="1" t="n">
        <v>0</v>
      </c>
    </row>
    <row r="12" customFormat="false" ht="14.25" hidden="false" customHeight="false" outlineLevel="0" collapsed="false">
      <c r="A12" s="0" t="n">
        <v>49</v>
      </c>
    </row>
    <row r="13" customFormat="false" ht="14.25" hidden="false" customHeight="false" outlineLevel="0" collapsed="false">
      <c r="A13" s="0" t="n">
        <v>50</v>
      </c>
    </row>
    <row r="14" customFormat="false" ht="14.25" hidden="false" customHeight="false" outlineLevel="0" collapsed="false">
      <c r="A14" s="0" t="n">
        <v>52</v>
      </c>
    </row>
    <row r="15" customFormat="false" ht="14.25" hidden="false" customHeight="false" outlineLevel="0" collapsed="false">
      <c r="A15" s="0" t="n">
        <v>54</v>
      </c>
    </row>
    <row r="16" customFormat="false" ht="14.25" hidden="false" customHeight="false" outlineLevel="0" collapsed="false">
      <c r="A16" s="0" t="n">
        <v>61</v>
      </c>
    </row>
    <row r="17" customFormat="false" ht="14.25" hidden="false" customHeight="false" outlineLevel="0" collapsed="false">
      <c r="A17" s="0" t="n">
        <v>55</v>
      </c>
    </row>
    <row r="18" customFormat="false" ht="14.25" hidden="false" customHeight="false" outlineLevel="0" collapsed="false">
      <c r="A18" s="0" t="n">
        <v>53</v>
      </c>
    </row>
    <row r="19" customFormat="false" ht="14.25" hidden="false" customHeight="false" outlineLevel="0" collapsed="false">
      <c r="A19" s="0" t="n">
        <v>58</v>
      </c>
    </row>
    <row r="20" customFormat="false" ht="14.25" hidden="false" customHeight="false" outlineLevel="0" collapsed="false">
      <c r="A20" s="0" t="n">
        <v>59</v>
      </c>
    </row>
    <row r="21" customFormat="false" ht="14.25" hidden="false" customHeight="false" outlineLevel="0" collapsed="false">
      <c r="A21" s="0" t="n">
        <v>56</v>
      </c>
    </row>
    <row r="22" customFormat="false" ht="14.25" hidden="false" customHeight="false" outlineLevel="0" collapsed="false">
      <c r="A22" s="0" t="n">
        <v>60</v>
      </c>
    </row>
    <row r="23" customFormat="false" ht="14.25" hidden="false" customHeight="false" outlineLevel="0" collapsed="false">
      <c r="A23" s="0" t="n">
        <v>61</v>
      </c>
    </row>
    <row r="24" customFormat="false" ht="14.25" hidden="false" customHeight="false" outlineLevel="0" collapsed="false">
      <c r="A24" s="0" t="n">
        <v>62</v>
      </c>
    </row>
    <row r="25" customFormat="false" ht="14.25" hidden="false" customHeight="false" outlineLevel="0" collapsed="false">
      <c r="A25" s="0" t="n">
        <v>60</v>
      </c>
    </row>
    <row r="26" customFormat="false" ht="14.25" hidden="false" customHeight="false" outlineLevel="0" collapsed="false">
      <c r="A26" s="0" t="n">
        <v>58</v>
      </c>
    </row>
    <row r="27" customFormat="false" ht="14.25" hidden="false" customHeight="false" outlineLevel="0" collapsed="false">
      <c r="A27" s="0" t="n">
        <v>55</v>
      </c>
    </row>
    <row r="28" customFormat="false" ht="14.25" hidden="false" customHeight="false" outlineLevel="0" collapsed="false">
      <c r="A28" s="0" t="n">
        <v>57</v>
      </c>
    </row>
    <row r="29" customFormat="false" ht="14.25" hidden="false" customHeight="false" outlineLevel="0" collapsed="false">
      <c r="A29" s="0" t="n">
        <v>55</v>
      </c>
    </row>
    <row r="30" customFormat="false" ht="14.25" hidden="false" customHeight="false" outlineLevel="0" collapsed="false">
      <c r="A30" s="0" t="n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2023-09-13T10:51:07Z</dcterms:created>
  <dc:creator>Саша Александров</dc:creator>
  <dc:description/>
  <dc:language>ru-RU</dc:language>
  <cp:lastModifiedBy>Саша Александров</cp:lastModifiedBy>
  <dcterms:modified xsi:type="dcterms:W3CDTF">2023-09-13T12:58:53Z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